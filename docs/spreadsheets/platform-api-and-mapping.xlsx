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07458138e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f4734cbc684e92"/>
    <x:sheet xmlns:r="http://schemas.openxmlformats.org/officeDocument/2006/relationships" name="API_List" sheetId="2" r:id="Rbb83d0667df14992"/>
    <x:sheet xmlns:r="http://schemas.openxmlformats.org/officeDocument/2006/relationships" name="Data_Mapping" sheetId="3" r:id="R7ce9192cb3064aa4"/>
    <x:sheet xmlns:r="http://schemas.openxmlformats.org/officeDocument/2006/relationships" name="ERD_Summary" sheetId="4" r:id="Redad1bc1da384dc6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3" authorId="0">
      <x:text>
        <x:r>
          <x:t>이 워크북은 Markdown 문서를 대체하는 것이 아니라, API/데이터 흐름을 빠르게 필터링·요약하기 위한 보조 자료입니다.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K1" authorId="0">
      <x:text>
        <x:r>
          <x:t>결제 관련 API는 Idempotency-Key 필수 여부를 명시했습니다.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Gateway 표준화부터 PG 승인/취소, telemetry까지 주요 데이터 이동을 한 시트에 정리했습니다.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b/>
    </x:font>
    <x:font>
      <x:b/>
      <x:color rgb="00FFFFFF"/>
    </x:font>
    <x:font>
      <x:sz val="1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E7E6E6"/>
      </x:patternFill>
    </x:fill>
  </x:fills>
  <x:borders count="2">
    <x:border>
      <x:left/>
      <x:right/>
      <x:top/>
      <x:bottom/>
      <x:diagonal/>
    </x:border>
    <x:border>
      <x:bottom style="thin">
        <x:color rgb="00D0D0D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4" borderId="0" xfId="0" applyAlignment="1">
      <x:alignment horizontal="center" vertical="center" wrapText="1"/>
    </x:xf>
    <x:xf numFmtId="0" fontId="2" fillId="3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2" fillId="5" borderId="0" xfId="0"/>
    <x:xf numFmtId="0" fontId="4" fillId="2" borderId="1" xfId="0" applyAlignment="1">
      <x:alignment horizontal="center" vertical="center" wrapText="1"/>
    </x:xf>
    <x:xf numFmtId="0" fontId="5" fillId="0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5" fillId="6" borderId="0" xfId="0" applyAlignment="1">
      <x:alignment vertical="top" wrapText="1"/>
    </x:xf>
    <x:xf numFmtId="0" fontId="4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001bd0444958" /><Relationship Type="http://schemas.openxmlformats.org/officeDocument/2006/relationships/theme" Target="/xl/theme/theme1.xml" Id="R117e644c7240498c" /><Relationship Type="http://schemas.openxmlformats.org/officeDocument/2006/relationships/sharedStrings" Target="/xl/sharedStrings.xml" Id="Rbc81304e3a4e4c60" /><Relationship Type="http://schemas.openxmlformats.org/officeDocument/2006/relationships/worksheet" Target="/xl/worksheets/sheet1.xml" Id="R5cf4734cbc684e92" /><Relationship Type="http://schemas.openxmlformats.org/officeDocument/2006/relationships/worksheet" Target="/xl/worksheets/sheet2.xml" Id="Rbb83d0667df14992" /><Relationship Type="http://schemas.openxmlformats.org/officeDocument/2006/relationships/worksheet" Target="/xl/worksheets/sheet3.xml" Id="R7ce9192cb3064aa4" /><Relationship Type="http://schemas.openxmlformats.org/officeDocument/2006/relationships/worksheet" Target="/xl/worksheets/sheet4.xml" Id="Redad1bc1da384dc6" /><Relationship Type="http://schemas.microsoft.com/office/2017/10/relationships/person" Target="/xl/persons/person.xml" Id="R579d5af0ce824879" /></Relationships>
</file>

<file path=xl/persons/person.xml><?xml version="1.0" encoding="utf-8"?>
<xltc:personList xmlns:xltc="http://schemas.microsoft.com/office/spreadsheetml/2018/threadedcomments">
  <xltc:person displayName="OpenAI" id="{B6B6FD04-EA60-93A5-7899-E41D9606AA8D}"/>
  <xltc:person displayName="OpenAI" id="{35C2578D-7AFA-F8E0-2699-95918CA814AB}"/>
  <xltc:person displayName="OpenAI" id="{7EB6CA4B-8B7B-D8AC-7F4F-39DF36B7A6AB}"/>
</xltc:personList>
</file>

<file path=xl/tables/table1.xml><?xml version="1.0" encoding="utf-8"?>
<x:table xmlns:x="http://schemas.openxmlformats.org/spreadsheetml/2006/main" id="1" name="ApiCatalog" displayName="ApiCatalog" ref="A1:M32" headerRowCount="1">
  <x:autoFilter ref="A1:M32"/>
  <x:tableColumns count="13">
    <x:tableColumn id="1" name="Service"/>
    <x:tableColumn id="2" name="Exposure"/>
    <x:tableColumn id="3" name="Via SCG"/>
    <x:tableColumn id="4" name="Method"/>
    <x:tableColumn id="5" name="Endpoint"/>
    <x:tableColumn id="6" name="Summary"/>
    <x:tableColumn id="7" name="Auth / Identity"/>
    <x:tableColumn id="8" name="Required Headers"/>
    <x:tableColumn id="9" name="Request"/>
    <x:tableColumn id="10" name="Response"/>
    <x:tableColumn id="11" name="Idempotency"/>
    <x:tableColumn id="12" name="Notes"/>
    <x:tableColumn id="13" name="Source File"/>
  </x:tableColumns>
  <x:tableStyleInfo name="TableStyleMedium2" showRowStripes="1"/>
</x:table>
</file>

<file path=xl/tables/table2.xml><?xml version="1.0" encoding="utf-8"?>
<x:table xmlns:x="http://schemas.openxmlformats.org/spreadsheetml/2006/main" id="2" name="DataMappingTable" displayName="DataMappingTable" ref="A1:I21" headerRowCount="1">
  <x:autoFilter ref="A1:I21"/>
  <x:tableColumns count="9">
    <x:tableColumn id="1" name="Flow"/>
    <x:tableColumn id="2" name="Source"/>
    <x:tableColumn id="3" name="Source Field"/>
    <x:tableColumn id="4" name="Target"/>
    <x:tableColumn id="5" name="Target Field"/>
    <x:tableColumn id="6" name="Type"/>
    <x:tableColumn id="7" name="Rule / Transformation"/>
    <x:tableColumn id="8" name="Persistence / Key"/>
    <x:tableColumn id="9" name="Consistency Note"/>
  </x:tableColumns>
  <x:tableStyleInfo name="TableStyleMedium9" showRowStripes="1"/>
</x:table>
</file>

<file path=xl/tables/table3.xml><?xml version="1.0" encoding="utf-8"?>
<x:table xmlns:x="http://schemas.openxmlformats.org/spreadsheetml/2006/main" id="3" name="ErdSummaryTable" displayName="ErdSummaryTable" ref="A1:H8" headerRowCount="1">
  <x:autoFilter ref="A1:H8"/>
  <x:tableColumns count="8">
    <x:tableColumn id="1" name="Service"/>
    <x:tableColumn id="2" name="Schema"/>
    <x:tableColumn id="3" name="Table"/>
    <x:tableColumn id="4" name="PK"/>
    <x:tableColumn id="5" name="Key Columns"/>
    <x:tableColumn id="6" name="Index / Constraint"/>
    <x:tableColumn id="7" name="Purpose"/>
    <x:tableColumn id="8" name="Growth / Partition Note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74c4fd684324c98" /><Relationship Type="http://schemas.openxmlformats.org/officeDocument/2006/relationships/vmlDrawing" Target="/xl/drawings/vmldrawing.vml" Id="R1f367723db384f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d192ff58b9440fc" /><Relationship Type="http://schemas.openxmlformats.org/officeDocument/2006/relationships/vmlDrawing" Target="/xl/drawings/vmldrawing2.vml" Id="R1e2a25e80c1f4d6b" /><Relationship Type="http://schemas.openxmlformats.org/officeDocument/2006/relationships/table" Target="/xl/tables/table1.xml" Id="Rc638dffc55e04f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f333e14d7854c7a" /><Relationship Type="http://schemas.openxmlformats.org/officeDocument/2006/relationships/vmlDrawing" Target="/xl/drawings/vmldrawing3.vml" Id="R8e7d61d34d48404a" /><Relationship Type="http://schemas.openxmlformats.org/officeDocument/2006/relationships/table" Target="/xl/tables/table2.xml" Id="R4e6fa70aeed446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210d49bf2245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16" customWidth="1"/>
    <x:col min="4" max="4" width="12" customWidth="1"/>
    <x:col min="5" max="5" width="48" customWidth="1"/>
    <x:col min="6" max="6" width="20" customWidth="1"/>
  </x:cols>
  <x:sheetData>
    <x:row r="1" ht="24" customHeight="1">
      <x:c r="A1" s="1" t="inlineStr">
        <x:is>
          <x:t xml:space="preserve">Platform API / 설계 문서 요약</x:t>
        </x:is>
      </x:c>
    </x:row>
    <x:row r="3">
      <x:c r="A3" s="2" t="inlineStr">
        <x:is>
          <x:t xml:space="preserve">생성 목적</x:t>
        </x:is>
      </x:c>
      <x:c r="B3" s="3" t="inlineStr">
        <x:is>
          <x:t xml:space="preserve">API 리스트, 데이터 매핑, ERD 요약을 면접/리뷰용으로 빠르게 확인하기 위한 보조 자료</x:t>
        </x:is>
      </x:c>
    </x:row>
    <x:row r="4">
      <x:c r="A4" s="2" t="inlineStr">
        <x:is>
          <x:t xml:space="preserve">주 문서 권장 포맷</x:t>
        </x:is>
      </x:c>
      <x:c r="B4" s="3" t="inlineStr">
        <x:is>
          <x:t xml:space="preserve">Markdown(GitHub) / Notion</x:t>
        </x:is>
      </x:c>
    </x:row>
    <x:row r="5">
      <x:c r="A5" s="2" t="inlineStr">
        <x:is>
          <x:t xml:space="preserve">보조 포맷</x:t>
        </x:is>
      </x:c>
      <x:c r="B5" s="3" t="inlineStr">
        <x:is>
          <x:t xml:space="preserve">Excel (API 요약, 데이터 매핑, 체크리스트)</x:t>
        </x:is>
      </x:c>
    </x:row>
    <x:row r="7">
      <x:c r="A7" s="4" t="inlineStr">
        <x:is>
          <x:t xml:space="preserve">Endpoint KPI</x:t>
        </x:is>
      </x:c>
    </x:row>
    <x:row r="8">
      <x:c r="A8" s="5" t="inlineStr">
        <x:is>
          <x:t xml:space="preserve">지표</x:t>
        </x:is>
      </x:c>
      <x:c r="B8" s="5" t="inlineStr">
        <x:is>
          <x:t xml:space="preserve">값</x:t>
        </x:is>
      </x:c>
      <x:c r="C8" s="5" t="inlineStr">
        <x:is>
          <x:t xml:space="preserve">설명</x:t>
        </x:is>
      </x:c>
    </x:row>
    <x:row r="9">
      <x:c r="A9" s="3" t="inlineStr">
        <x:is>
          <x:t xml:space="preserve">총 엔드포인트 수</x:t>
        </x:is>
      </x:c>
      <x:c r="B9" s="6">
        <x:f>COUNTA(API_List!A2:A200)</x:f>
        <x:v>31</x:v>
      </x:c>
      <x:c r="C9" s="3" t="inlineStr">
        <x:is>
          <x:t xml:space="preserve">외부/내부를 합친 전체 API 카탈로그 수</x:t>
        </x:is>
      </x:c>
    </x:row>
    <x:row r="10">
      <x:c r="A10" s="3" t="inlineStr">
        <x:is>
          <x:t xml:space="preserve">외부 API 수</x:t>
        </x:is>
      </x:c>
      <x:c r="B10" s="6">
        <x:f>COUNTIF(API_List!B:B,"External")</x:f>
        <x:v>21</x:v>
      </x:c>
      <x:c r="C10" s="3" t="inlineStr">
        <x:is>
          <x:t xml:space="preserve">SCG 또는 직접 외부 호출 대상으로 설계된 API 수</x:t>
        </x:is>
      </x:c>
    </x:row>
    <x:row r="11">
      <x:c r="A11" s="3" t="inlineStr">
        <x:is>
          <x:t xml:space="preserve">내부 API 수</x:t>
        </x:is>
      </x:c>
      <x:c r="B11" s="6">
        <x:f>COUNTIF(API_List!B:B,"Internal")</x:f>
        <x:v>10</x:v>
      </x:c>
      <x:c r="C11" s="3" t="inlineStr">
        <x:is>
          <x:t xml:space="preserve">/internal/** 기반 서비스 간 호출 API 수</x:t>
        </x:is>
      </x:c>
    </x:row>
    <x:row r="12">
      <x:c r="A12" s="3" t="inlineStr">
        <x:is>
          <x:t xml:space="preserve">서비스 수</x:t>
        </x:is>
      </x:c>
      <x:c r="B12" s="6">
        <x:f>COUNTA(UNIQUE(API_List!A2:A200))</x:f>
        <x:v>5</x:v>
      </x:c>
      <x:c r="C12" s="3" t="inlineStr">
        <x:is>
          <x:t xml:space="preserve">API를 제공하는 애플리케이션 수</x:t>
        </x:is>
      </x:c>
    </x:row>
    <x:row r="14">
      <x:c r="A14" s="4" t="inlineStr">
        <x:is>
          <x:t xml:space="preserve">서비스별 Endpoint 수</x:t>
        </x:is>
      </x:c>
    </x:row>
    <x:row r="15">
      <x:c r="A15" s="5" t="inlineStr">
        <x:is>
          <x:t xml:space="preserve">Service</x:t>
        </x:is>
      </x:c>
      <x:c r="B15" s="5" t="inlineStr">
        <x:is>
          <x:t xml:space="preserve">External</x:t>
        </x:is>
      </x:c>
      <x:c r="C15" s="5" t="inlineStr">
        <x:is>
          <x:t xml:space="preserve">Internal</x:t>
        </x:is>
      </x:c>
      <x:c r="D15" s="5" t="inlineStr">
        <x:is>
          <x:t xml:space="preserve">Total</x:t>
        </x:is>
      </x:c>
      <x:c r="E15" s="5" t="inlineStr">
        <x:is>
          <x:t xml:space="preserve">비고</x:t>
        </x:is>
      </x:c>
    </x:row>
    <x:row r="16">
      <x:c r="A16" s="3" t="inlineStr">
        <x:is>
          <x:t xml:space="preserve">waitingroom-app</x:t>
        </x:is>
      </x:c>
      <x:c r="B16" s="6">
        <x:f>COUNTIFS(API_List!A:A,"waitingroom-app",API_List!B:B,"External")</x:f>
        <x:v>2</x:v>
      </x:c>
      <x:c r="C16" s="6">
        <x:f>COUNTIFS(API_List!A:A,"waitingroom-app",API_List!B:B,"Internal")</x:f>
        <x:v>2</x:v>
      </x:c>
      <x:c r="D16" s="6">
        <x:f>B16+C16</x:f>
        <x:v>4</x:v>
      </x:c>
      <x:c r="E16" s="3" t="inlineStr">
        <x:is>
          <x:t xml:space="preserve">Queue/Token + rate limit 핵심</x:t>
        </x:is>
      </x:c>
    </x:row>
    <x:row r="17">
      <x:c r="A17" s="3" t="inlineStr">
        <x:is>
          <x:t xml:space="preserve">concert-app</x:t>
        </x:is>
      </x:c>
      <x:c r="B17" s="6">
        <x:f>COUNTIFS(API_List!A:A,"concert-app",API_List!B:B,"External")</x:f>
        <x:v>7</x:v>
      </x:c>
      <x:c r="C17" s="6">
        <x:f>COUNTIFS(API_List!A:A,"concert-app",API_List!B:B,"Internal")</x:f>
        <x:v>4</x:v>
      </x:c>
      <x:c r="D17" s="6">
        <x:f>B17+C17</x:f>
        <x:v>11</x:v>
      </x:c>
      <x:c r="E17" s="3" t="inlineStr">
        <x:is>
          <x:t xml:space="preserve">Event/Schedule/Seat + internal seat control</x:t>
        </x:is>
      </x:c>
    </x:row>
    <x:row r="18">
      <x:c r="A18" s="3" t="inlineStr">
        <x:is>
          <x:t xml:space="preserve">booking-app</x:t>
        </x:is>
      </x:c>
      <x:c r="B18" s="6">
        <x:f>COUNTIFS(API_List!A:A,"booking-app",API_List!B:B,"External")</x:f>
        <x:v>4</x:v>
      </x:c>
      <x:c r="C18" s="6">
        <x:f>COUNTIFS(API_List!A:A,"booking-app",API_List!B:B,"Internal")</x:f>
        <x:v>4</x:v>
      </x:c>
      <x:c r="D18" s="6">
        <x:f>B18+C18</x:f>
        <x:v>8</x:v>
      </x:c>
      <x:c r="E18" s="3" t="inlineStr">
        <x:is>
          <x:t xml:space="preserve">Reservation lifecycle</x:t>
        </x:is>
      </x:c>
    </x:row>
    <x:row r="19">
      <x:c r="A19" s="3" t="inlineStr">
        <x:is>
          <x:t xml:space="preserve">payment-app</x:t>
        </x:is>
      </x:c>
      <x:c r="B19" s="6">
        <x:f>COUNTIFS(API_List!A:A,"payment-app",API_List!B:B,"External")</x:f>
        <x:v>5</x:v>
      </x:c>
      <x:c r="C19" s="6">
        <x:f>COUNTIFS(API_List!A:A,"payment-app",API_List!B:B,"Internal")</x:f>
        <x:v>0</x:v>
      </x:c>
      <x:c r="D19" s="6">
        <x:f>B19+C19</x:f>
        <x:v>5</x:v>
      </x:c>
      <x:c r="E19" s="3" t="inlineStr">
        <x:is>
          <x:t xml:space="preserve">Toss PG + idempotency + compensation</x:t>
        </x:is>
      </x:c>
    </x:row>
    <x:row r="20">
      <x:c r="A20" s="3" t="inlineStr">
        <x:is>
          <x:t xml:space="preserve">user-app</x:t>
        </x:is>
      </x:c>
      <x:c r="B20" s="6">
        <x:f>COUNTIFS(API_List!A:A,"user-app",API_List!B:B,"External")</x:f>
        <x:v>3</x:v>
      </x:c>
      <x:c r="C20" s="6">
        <x:f>COUNTIFS(API_List!A:A,"user-app",API_List!B:B,"Internal")</x:f>
        <x:v>0</x:v>
      </x:c>
      <x:c r="D20" s="6">
        <x:f>B20+C20</x:f>
        <x:v>3</x:v>
      </x:c>
      <x:c r="E20" s="3" t="inlineStr">
        <x:is>
          <x:t xml:space="preserve">기본 user/demo endpoint</x:t>
        </x:is>
      </x:c>
    </x:row>
    <x:row r="22">
      <x:c r="A22" s="7" t="inlineStr">
        <x:is>
          <x:t xml:space="preserve">해석 메모</x:t>
        </x:is>
      </x:c>
      <x:c r="B22" s="3" t="inlineStr">
        <x:is>
          <x:t xml:space="preserve">`/internal/**`는 gateway에서 차단되므로 실제 외부 노출 카탈로그에는 포함되지 않음</x:t>
        </x:is>
      </x:c>
    </x:row>
  </x:sheetData>
  <x:mergeCells>
    <x:mergeCell ref="A14:F14"/>
    <x:mergeCell ref="A1:F1"/>
    <x:mergeCell ref="A7:F7"/>
  </x:mergeCells>
  <x:pageMargins left="0.7" right="0.7" top="0.75" bottom="0.75" header="0.3" footer="0.3"/>
  <x:legacyDrawing xmlns:r="http://schemas.openxmlformats.org/officeDocument/2006/relationships" r:id="R1f367723db384f2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2" customWidth="1"/>
    <x:col min="3" max="3" width="10" customWidth="1"/>
    <x:col min="4" max="4" width="10" customWidth="1"/>
    <x:col min="5" max="5" width="34" customWidth="1"/>
    <x:col min="6" max="6" width="20" customWidth="1"/>
    <x:col min="7" max="7" width="24" customWidth="1"/>
    <x:col min="8" max="8" width="34" customWidth="1"/>
    <x:col min="9" max="9" width="36" customWidth="1"/>
    <x:col min="10" max="10" width="24" customWidth="1"/>
    <x:col min="11" max="11" width="12" customWidth="1"/>
    <x:col min="12" max="12" width="38" customWidth="1"/>
    <x:col min="13" max="13" width="34" customWidth="1"/>
  </x:cols>
  <x:sheetData>
    <x:row r="1">
      <x:c r="A1" s="8" t="inlineStr">
        <x:is>
          <x:t xml:space="preserve">Service</x:t>
        </x:is>
      </x:c>
      <x:c r="B1" s="8" t="inlineStr">
        <x:is>
          <x:t xml:space="preserve">Exposure</x:t>
        </x:is>
      </x:c>
      <x:c r="C1" s="8" t="inlineStr">
        <x:is>
          <x:t xml:space="preserve">Via SCG</x:t>
        </x:is>
      </x:c>
      <x:c r="D1" s="8" t="inlineStr">
        <x:is>
          <x:t xml:space="preserve">Method</x:t>
        </x:is>
      </x:c>
      <x:c r="E1" s="8" t="inlineStr">
        <x:is>
          <x:t xml:space="preserve">Endpoint</x:t>
        </x:is>
      </x:c>
      <x:c r="F1" s="8" t="inlineStr">
        <x:is>
          <x:t xml:space="preserve">Summary</x:t>
        </x:is>
      </x:c>
      <x:c r="G1" s="8" t="inlineStr">
        <x:is>
          <x:t xml:space="preserve">Auth / Identity</x:t>
        </x:is>
      </x:c>
      <x:c r="H1" s="8" t="inlineStr">
        <x:is>
          <x:t xml:space="preserve">Required Headers</x:t>
        </x:is>
      </x:c>
      <x:c r="I1" s="8" t="inlineStr">
        <x:is>
          <x:t xml:space="preserve">Request</x:t>
        </x:is>
      </x:c>
      <x:c r="J1" s="8" t="inlineStr">
        <x:is>
          <x:t xml:space="preserve">Response</x:t>
        </x:is>
      </x:c>
      <x:c r="K1" s="8" t="inlineStr">
        <x:is>
          <x:t xml:space="preserve">Idempotency</x:t>
        </x:is>
      </x:c>
      <x:c r="L1" s="8" t="inlineStr">
        <x:is>
          <x:t xml:space="preserve">Notes</x:t>
        </x:is>
      </x:c>
      <x:c r="M1" s="8" t="inlineStr">
        <x:is>
          <x:t xml:space="preserve">Source File</x:t>
        </x:is>
      </x:c>
    </x:row>
    <x:row r="2">
      <x:c r="A2" s="9" t="inlineStr">
        <x:is>
          <x:t xml:space="preserve">waitingroom-app</x:t>
        </x:is>
      </x:c>
      <x:c r="B2" s="10" t="inlineStr">
        <x:is>
          <x:t xml:space="preserve">External</x:t>
        </x:is>
      </x:c>
      <x:c r="C2" s="9" t="inlineStr">
        <x:is>
          <x:t xml:space="preserve">Yes</x:t>
        </x:is>
      </x:c>
      <x:c r="D2" s="9" t="inlineStr">
        <x:is>
          <x:t xml:space="preserve">POST</x:t>
        </x:is>
      </x:c>
      <x:c r="E2" s="9" t="inlineStr">
        <x:is>
          <x:t xml:space="preserve">/api/v1/waiting-room/join</x:t>
        </x:is>
      </x:c>
      <x:c r="F2" s="9" t="inlineStr">
        <x:is>
          <x:t xml:space="preserve">대기열 진입</x:t>
        </x:is>
      </x:c>
      <x:c r="G2" s="9" t="inlineStr">
        <x:is>
          <x:t xml:space="preserve">Body userId (현재), JWT/OIDC 전환 예정</x:t>
        </x:is>
      </x:c>
      <x:c r="H2" s="9" t="inlineStr">
        <x:is>
          <x:t xml:space="preserve">X-Correlation-Id(optional)</x:t>
        </x:is>
      </x:c>
      <x:c r="I2" s="9" t="inlineStr">
        <x:is>
          <x:t xml:space="preserve">WaitingRoomRequestDTO {eventId, userId}</x:t>
        </x:is>
      </x:c>
      <x:c r="J2" s="9" t="inlineStr">
        <x:is>
          <x:t xml:space="preserve">WaitingRoomResponseDTO</x:t>
        </x:is>
      </x:c>
      <x:c r="K2" s="9" t="inlineStr">
        <x:is>
          <x:t xml:space="preserve">N/A</x:t>
        </x:is>
      </x:c>
      <x:c r="L2" s="9" t="inlineStr">
        <x:is>
          <x:t xml:space="preserve">Redis Sorted Set에 진입. 이미 등록된 사용자는 기존 순번 기준 응답.</x:t>
        </x:is>
      </x:c>
      <x:c r="M2" s="9" t="inlineStr">
        <x:is>
          <x:t xml:space="preserve">waitingroom-app/.../WaitingRoomController.java</x:t>
        </x:is>
      </x:c>
    </x:row>
    <x:row r="3">
      <x:c r="A3" s="9" t="inlineStr">
        <x:is>
          <x:t xml:space="preserve">waitingroom-app</x:t>
        </x:is>
      </x:c>
      <x:c r="B3" s="10" t="inlineStr">
        <x:is>
          <x:t xml:space="preserve">External</x:t>
        </x:is>
      </x:c>
      <x:c r="C3" s="9" t="inlineStr">
        <x:is>
          <x:t xml:space="preserve">Yes</x:t>
        </x:is>
      </x:c>
      <x:c r="D3" s="9" t="inlineStr">
        <x:is>
          <x:t xml:space="preserve">GET</x:t>
        </x:is>
      </x:c>
      <x:c r="E3" s="9" t="inlineStr">
        <x:is>
          <x:t xml:space="preserve">/api/v1/waiting-room/status</x:t>
        </x:is>
      </x:c>
      <x:c r="F3" s="9" t="inlineStr">
        <x:is>
          <x:t xml:space="preserve">대기열 상태 조회 / 토큰 발급</x:t>
        </x:is>
      </x:c>
      <x:c r="G3" s="9" t="inlineStr">
        <x:is>
          <x:t xml:space="preserve">Query userId (현재), JWT/OIDC 전환 예정</x:t>
        </x:is>
      </x:c>
      <x:c r="H3" s="9" t="inlineStr">
        <x:is>
          <x:t xml:space="preserve">X-Correlation-Id(optional)</x:t>
        </x:is>
      </x:c>
      <x:c r="I3" s="9" t="inlineStr">
        <x:is>
          <x:t xml:space="preserve">Query: eventId, userId</x:t>
        </x:is>
      </x:c>
      <x:c r="J3" s="9" t="inlineStr">
        <x:is>
          <x:t xml:space="preserve">WaitingRoomResponseDTO</x:t>
        </x:is>
      </x:c>
      <x:c r="K3" s="9" t="inlineStr">
        <x:is>
          <x:t xml:space="preserve">N/A</x:t>
        </x:is>
      </x:c>
      <x:c r="L3" s="9" t="inlineStr">
        <x:is>
          <x:t xml:space="preserve">순번이 통과 구간이면 ACTIVE token 발급, 아니면 waiting 응답.</x:t>
        </x:is>
      </x:c>
      <x:c r="M3" s="9" t="inlineStr">
        <x:is>
          <x:t xml:space="preserve">waitingroom-app/.../WaitingRoomController.java</x:t>
        </x:is>
      </x:c>
    </x:row>
    <x:row r="4">
      <x:c r="A4" s="9" t="inlineStr">
        <x:is>
          <x:t xml:space="preserve">concert-app</x:t>
        </x:is>
      </x:c>
      <x:c r="B4" s="10" t="inlineStr">
        <x:is>
          <x:t xml:space="preserve">External</x:t>
        </x:is>
      </x:c>
      <x:c r="C4" s="9" t="inlineStr">
        <x:is>
          <x:t xml:space="preserve">Yes</x:t>
        </x:is>
      </x:c>
      <x:c r="D4" s="9" t="inlineStr">
        <x:is>
          <x:t xml:space="preserve">POST</x:t>
        </x:is>
      </x:c>
      <x:c r="E4" s="9" t="inlineStr">
        <x:is>
          <x:t xml:space="preserve">/api/v1/events</x:t>
        </x:is>
      </x:c>
      <x:c r="F4" s="9" t="inlineStr">
        <x:is>
          <x:t xml:space="preserve">공연 신규 등록</x:t>
        </x:is>
      </x:c>
      <x:c r="G4" s="9" t="inlineStr">
        <x:is>
          <x:t xml:space="preserve">없음(현재 staging), 관리자 권한화 권장</x:t>
        </x:is>
      </x:c>
      <x:c r="H4" s="9" t="inlineStr">
        <x:is>
          <x:t xml:space="preserve">X-Correlation-Id(optional)</x:t>
        </x:is>
      </x:c>
      <x:c r="I4" s="9" t="inlineStr">
        <x:is>
          <x:t xml:space="preserve">EventRequestDTO {title, description, posterUrl}</x:t>
        </x:is>
      </x:c>
      <x:c r="J4" s="9" t="inlineStr">
        <x:is>
          <x:t xml:space="preserve">EventResponseDTO</x:t>
        </x:is>
      </x:c>
      <x:c r="K4" s="9" t="inlineStr">
        <x:is>
          <x:t xml:space="preserve">N/A</x:t>
        </x:is>
      </x:c>
      <x:c r="L4" s="9" t="inlineStr">
        <x:is>
          <x:t xml:space="preserve">운영 전환 시 관리자 전용 API로 분리 권장.</x:t>
        </x:is>
      </x:c>
      <x:c r="M4" s="9" t="inlineStr">
        <x:is>
          <x:t xml:space="preserve">concert-app/.../EventController.java</x:t>
        </x:is>
      </x:c>
    </x:row>
    <x:row r="5">
      <x:c r="A5" s="9" t="inlineStr">
        <x:is>
          <x:t xml:space="preserve">concert-app</x:t>
        </x:is>
      </x:c>
      <x:c r="B5" s="10" t="inlineStr">
        <x:is>
          <x:t xml:space="preserve">External</x:t>
        </x:is>
      </x:c>
      <x:c r="C5" s="9" t="inlineStr">
        <x:is>
          <x:t xml:space="preserve">Yes</x:t>
        </x:is>
      </x:c>
      <x:c r="D5" s="9" t="inlineStr">
        <x:is>
          <x:t xml:space="preserve">GET</x:t>
        </x:is>
      </x:c>
      <x:c r="E5" s="9" t="inlineStr">
        <x:is>
          <x:t xml:space="preserve">/api/v1/events/{eventId}</x:t>
        </x:is>
      </x:c>
      <x:c r="F5" s="9" t="inlineStr">
        <x:is>
          <x:t xml:space="preserve">공연 상세 조회</x:t>
        </x:is>
      </x:c>
      <x:c r="G5" s="9" t="inlineStr">
        <x:is>
          <x:t xml:space="preserve">없음</x:t>
        </x:is>
      </x:c>
      <x:c r="H5" s="9" t="inlineStr">
        <x:is>
          <x:t xml:space="preserve">X-Correlation-Id(optional)</x:t>
        </x:is>
      </x:c>
      <x:c r="I5" s="9" t="inlineStr">
        <x:is>
          <x:t xml:space="preserve">Path: eventId</x:t>
        </x:is>
      </x:c>
      <x:c r="J5" s="9" t="inlineStr">
        <x:is>
          <x:t xml:space="preserve">EventResponseDTO</x:t>
        </x:is>
      </x:c>
      <x:c r="K5" s="9" t="inlineStr">
        <x:is>
          <x:t xml:space="preserve">N/A</x:t>
        </x:is>
      </x:c>
      <x:c r="L5" s="9" t="inlineStr">
        <x:is>
          <x:t xml:space="preserve">read-heavy 데이터. Caffeine L1 캐시 대상.</x:t>
        </x:is>
      </x:c>
      <x:c r="M5" s="9" t="inlineStr">
        <x:is>
          <x:t xml:space="preserve">concert-app/.../EventController.java</x:t>
        </x:is>
      </x:c>
    </x:row>
    <x:row r="6">
      <x:c r="A6" s="9" t="inlineStr">
        <x:is>
          <x:t xml:space="preserve">concert-app</x:t>
        </x:is>
      </x:c>
      <x:c r="B6" s="10" t="inlineStr">
        <x:is>
          <x:t xml:space="preserve">External</x:t>
        </x:is>
      </x:c>
      <x:c r="C6" s="9" t="inlineStr">
        <x:is>
          <x:t xml:space="preserve">Yes</x:t>
        </x:is>
      </x:c>
      <x:c r="D6" s="9" t="inlineStr">
        <x:is>
          <x:t xml:space="preserve">GET</x:t>
        </x:is>
      </x:c>
      <x:c r="E6" s="9" t="inlineStr">
        <x:is>
          <x:t xml:space="preserve">/api/v1/events</x:t>
        </x:is>
      </x:c>
      <x:c r="F6" s="9" t="inlineStr">
        <x:is>
          <x:t xml:space="preserve">전체 공연 목록 조회</x:t>
        </x:is>
      </x:c>
      <x:c r="G6" s="9" t="inlineStr">
        <x:is>
          <x:t xml:space="preserve">없음</x:t>
        </x:is>
      </x:c>
      <x:c r="H6" s="9" t="inlineStr">
        <x:is>
          <x:t xml:space="preserve">X-Correlation-Id(optional)</x:t>
        </x:is>
      </x:c>
      <x:c r="I6" s="9" t="inlineStr">
        <x:is>
          <x:t xml:space="preserve">없음</x:t>
        </x:is>
      </x:c>
      <x:c r="J6" s="9" t="inlineStr">
        <x:is>
          <x:t xml:space="preserve">List&lt;EventResponseDTO&gt;</x:t>
        </x:is>
      </x:c>
      <x:c r="K6" s="9" t="inlineStr">
        <x:is>
          <x:t xml:space="preserve">N/A</x:t>
        </x:is>
      </x:c>
      <x:c r="L6" s="9" t="inlineStr">
        <x:is>
          <x:t xml:space="preserve">공연 카탈로그 조회용.</x:t>
        </x:is>
      </x:c>
      <x:c r="M6" s="9" t="inlineStr">
        <x:is>
          <x:t xml:space="preserve">concert-app/.../EventController.java</x:t>
        </x:is>
      </x:c>
    </x:row>
    <x:row r="7">
      <x:c r="A7" s="9" t="inlineStr">
        <x:is>
          <x:t xml:space="preserve">concert-app</x:t>
        </x:is>
      </x:c>
      <x:c r="B7" s="10" t="inlineStr">
        <x:is>
          <x:t xml:space="preserve">External</x:t>
        </x:is>
      </x:c>
      <x:c r="C7" s="9" t="inlineStr">
        <x:is>
          <x:t xml:space="preserve">Yes</x:t>
        </x:is>
      </x:c>
      <x:c r="D7" s="9" t="inlineStr">
        <x:is>
          <x:t xml:space="preserve">GET</x:t>
        </x:is>
      </x:c>
      <x:c r="E7" s="9" t="inlineStr">
        <x:is>
          <x:t xml:space="preserve">/api/v1/events/{eventId}/schedules</x:t>
        </x:is>
      </x:c>
      <x:c r="F7" s="9" t="inlineStr">
        <x:is>
          <x:t xml:space="preserve">공연 회차 목록 조회</x:t>
        </x:is>
      </x:c>
      <x:c r="G7" s="9" t="inlineStr">
        <x:is>
          <x:t xml:space="preserve">없음</x:t>
        </x:is>
      </x:c>
      <x:c r="H7" s="9" t="inlineStr">
        <x:is>
          <x:t xml:space="preserve">X-Correlation-Id(optional)</x:t>
        </x:is>
      </x:c>
      <x:c r="I7" s="9" t="inlineStr">
        <x:is>
          <x:t xml:space="preserve">Path: eventId, Query: page/size/sort</x:t>
        </x:is>
      </x:c>
      <x:c r="J7" s="9" t="inlineStr">
        <x:is>
          <x:t xml:space="preserve">PageResponse&lt;EventScheduleResponseDTO&gt;</x:t>
        </x:is>
      </x:c>
      <x:c r="K7" s="9" t="inlineStr">
        <x:is>
          <x:t xml:space="preserve">N/A</x:t>
        </x:is>
      </x:c>
      <x:c r="L7" s="9" t="inlineStr">
        <x:is>
          <x:t xml:space="preserve">정렬 기본값: startTime ASC, scheduleId ASC.</x:t>
        </x:is>
      </x:c>
      <x:c r="M7" s="9" t="inlineStr">
        <x:is>
          <x:t xml:space="preserve">concert-app/.../EventScheduleController.java</x:t>
        </x:is>
      </x:c>
    </x:row>
    <x:row r="8">
      <x:c r="A8" s="9" t="inlineStr">
        <x:is>
          <x:t xml:space="preserve">concert-app</x:t>
        </x:is>
      </x:c>
      <x:c r="B8" s="10" t="inlineStr">
        <x:is>
          <x:t xml:space="preserve">External</x:t>
        </x:is>
      </x:c>
      <x:c r="C8" s="9" t="inlineStr">
        <x:is>
          <x:t xml:space="preserve">Yes</x:t>
        </x:is>
      </x:c>
      <x:c r="D8" s="9" t="inlineStr">
        <x:is>
          <x:t xml:space="preserve">GET</x:t>
        </x:is>
      </x:c>
      <x:c r="E8" s="9" t="inlineStr">
        <x:is>
          <x:t xml:space="preserve">/api/v1/schedules/{scheduleId}</x:t>
        </x:is>
      </x:c>
      <x:c r="F8" s="9" t="inlineStr">
        <x:is>
          <x:t xml:space="preserve">회차 상세 조회</x:t>
        </x:is>
      </x:c>
      <x:c r="G8" s="9" t="inlineStr">
        <x:is>
          <x:t xml:space="preserve">없음</x:t>
        </x:is>
      </x:c>
      <x:c r="H8" s="9" t="inlineStr">
        <x:is>
          <x:t xml:space="preserve">X-Correlation-Id(optional)</x:t>
        </x:is>
      </x:c>
      <x:c r="I8" s="9" t="inlineStr">
        <x:is>
          <x:t xml:space="preserve">Path: scheduleId</x:t>
        </x:is>
      </x:c>
      <x:c r="J8" s="9" t="inlineStr">
        <x:is>
          <x:t xml:space="preserve">EventScheduleDetailResponseDTO</x:t>
        </x:is>
      </x:c>
      <x:c r="K8" s="9" t="inlineStr">
        <x:is>
          <x:t xml:space="preserve">N/A</x:t>
        </x:is>
      </x:c>
      <x:c r="L8" s="9" t="inlineStr">
        <x:is>
          <x:t xml:space="preserve">bookable/bookableCode/bookableMessage를 서버 계산으로 제공.</x:t>
        </x:is>
      </x:c>
      <x:c r="M8" s="9" t="inlineStr">
        <x:is>
          <x:t xml:space="preserve">concert-app/.../EventScheduleController.java</x:t>
        </x:is>
      </x:c>
    </x:row>
    <x:row r="9">
      <x:c r="A9" s="9" t="inlineStr">
        <x:is>
          <x:t xml:space="preserve">concert-app</x:t>
        </x:is>
      </x:c>
      <x:c r="B9" s="10" t="inlineStr">
        <x:is>
          <x:t xml:space="preserve">External</x:t>
        </x:is>
      </x:c>
      <x:c r="C9" s="9" t="inlineStr">
        <x:is>
          <x:t xml:space="preserve">Yes</x:t>
        </x:is>
      </x:c>
      <x:c r="D9" s="9" t="inlineStr">
        <x:is>
          <x:t xml:space="preserve">GET</x:t>
        </x:is>
      </x:c>
      <x:c r="E9" s="9" t="inlineStr">
        <x:is>
          <x:t xml:space="preserve">/api/v1/seats/available/{scheduleId}</x:t>
        </x:is>
      </x:c>
      <x:c r="F9" s="9" t="inlineStr">
        <x:is>
          <x:t xml:space="preserve">예약 가능 좌석 조회</x:t>
        </x:is>
      </x:c>
      <x:c r="G9" s="9" t="inlineStr">
        <x:is>
          <x:t xml:space="preserve">없음</x:t>
        </x:is>
      </x:c>
      <x:c r="H9" s="9" t="inlineStr">
        <x:is>
          <x:t xml:space="preserve">X-Correlation-Id(optional)</x:t>
        </x:is>
      </x:c>
      <x:c r="I9" s="9" t="inlineStr">
        <x:is>
          <x:t xml:space="preserve">Path: scheduleId</x:t>
        </x:is>
      </x:c>
      <x:c r="J9" s="9" t="inlineStr">
        <x:is>
          <x:t xml:space="preserve">List&lt;SeatResponseDTO&gt;</x:t>
        </x:is>
      </x:c>
      <x:c r="K9" s="9" t="inlineStr">
        <x:is>
          <x:t xml:space="preserve">N/A</x:t>
        </x:is>
      </x:c>
      <x:c r="L9" s="9" t="inlineStr">
        <x:is>
          <x:t xml:space="preserve">AVAILABLE 좌석만 반환.</x:t>
        </x:is>
      </x:c>
      <x:c r="M9" s="9" t="inlineStr">
        <x:is>
          <x:t xml:space="preserve">concert-app/.../SeatController.java</x:t>
        </x:is>
      </x:c>
    </x:row>
    <x:row r="10">
      <x:c r="A10" s="9" t="inlineStr">
        <x:is>
          <x:t xml:space="preserve">concert-app</x:t>
        </x:is>
      </x:c>
      <x:c r="B10" s="10" t="inlineStr">
        <x:is>
          <x:t xml:space="preserve">External</x:t>
        </x:is>
      </x:c>
      <x:c r="C10" s="9" t="inlineStr">
        <x:is>
          <x:t xml:space="preserve">Yes</x:t>
        </x:is>
      </x:c>
      <x:c r="D10" s="9" t="inlineStr">
        <x:is>
          <x:t xml:space="preserve">POST</x:t>
        </x:is>
      </x:c>
      <x:c r="E10" s="9" t="inlineStr">
        <x:is>
          <x:t xml:space="preserve">/api/v1/seats/hold</x:t>
        </x:is>
      </x:c>
      <x:c r="F10" s="9" t="inlineStr">
        <x:is>
          <x:t xml:space="preserve">좌석 임시 점유</x:t>
        </x:is>
      </x:c>
      <x:c r="G10" s="9" t="inlineStr">
        <x:is>
          <x:t xml:space="preserve">없음(현재), booking-app 내부 전용화 권장</x:t>
        </x:is>
      </x:c>
      <x:c r="H10" s="9" t="inlineStr">
        <x:is>
          <x:t xml:space="preserve">X-Correlation-Id(optional)</x:t>
        </x:is>
      </x:c>
      <x:c r="I10" s="9" t="inlineStr">
        <x:is>
          <x:t xml:space="preserve">SeatRequestDTO {seatId}</x:t>
        </x:is>
      </x:c>
      <x:c r="J10" s="9" t="inlineStr">
        <x:is>
          <x:t xml:space="preserve">SeatResponseDTO</x:t>
        </x:is>
      </x:c>
      <x:c r="K10" s="9" t="inlineStr">
        <x:is>
          <x:t xml:space="preserve">N/A</x:t>
        </x:is>
      </x:c>
      <x:c r="L10" s="9" t="inlineStr">
        <x:is>
          <x:t xml:space="preserve">낙관적 락 사용. 실제 운영에서는 외부 직접 호출보다 booking 흐름 안으로 제한 권장.</x:t>
        </x:is>
      </x:c>
      <x:c r="M10" s="9" t="inlineStr">
        <x:is>
          <x:t xml:space="preserve">concert-app/.../SeatController.java</x:t>
        </x:is>
      </x:c>
    </x:row>
    <x:row r="11">
      <x:c r="A11" s="9" t="inlineStr">
        <x:is>
          <x:t xml:space="preserve">booking-app</x:t>
        </x:is>
      </x:c>
      <x:c r="B11" s="10" t="inlineStr">
        <x:is>
          <x:t xml:space="preserve">External</x:t>
        </x:is>
      </x:c>
      <x:c r="C11" s="9" t="inlineStr">
        <x:is>
          <x:t xml:space="preserve">Yes</x:t>
        </x:is>
      </x:c>
      <x:c r="D11" s="9" t="inlineStr">
        <x:is>
          <x:t xml:space="preserve">POST</x:t>
        </x:is>
      </x:c>
      <x:c r="E11" s="9" t="inlineStr">
        <x:is>
          <x:t xml:space="preserve">/api/v1/reservations</x:t>
        </x:is>
      </x:c>
      <x:c r="F11" s="9" t="inlineStr">
        <x:is>
          <x:t xml:space="preserve">예약 생성</x:t>
        </x:is>
      </x:c>
      <x:c r="G11" s="9" t="inlineStr">
        <x:is>
          <x:t xml:space="preserve">@AuthUserId -&gt; X-Auth-User-Id</x:t>
        </x:is>
      </x:c>
      <x:c r="H11" s="9" t="inlineStr">
        <x:is>
          <x:t xml:space="preserve">X-Auth-User-Id(required), X-Waiting-Token(required), X-Correlation-Id(optional)</x:t>
        </x:is>
      </x:c>
      <x:c r="I11" s="9" t="inlineStr">
        <x:is>
          <x:t xml:space="preserve">ReservationCreateRequestDTO {seatId}</x:t>
        </x:is>
      </x:c>
      <x:c r="J11" s="9" t="inlineStr">
        <x:is>
          <x:t xml:space="preserve">ReservationResponseDTO</x:t>
        </x:is>
      </x:c>
      <x:c r="K11" s="9" t="inlineStr">
        <x:is>
          <x:t xml:space="preserve">권장(향후)</x:t>
        </x:is>
      </x:c>
      <x:c r="L11" s="9" t="inlineStr">
        <x:is>
          <x:t xml:space="preserve">waitingroom token 검증 + seat HOLD + reservation 저장 + token consume.</x:t>
        </x:is>
      </x:c>
      <x:c r="M11" s="9" t="inlineStr">
        <x:is>
          <x:t xml:space="preserve">booking-app/.../ReservationController.java</x:t>
        </x:is>
      </x:c>
    </x:row>
    <x:row r="12">
      <x:c r="A12" s="9" t="inlineStr">
        <x:is>
          <x:t xml:space="preserve">booking-app</x:t>
        </x:is>
      </x:c>
      <x:c r="B12" s="10" t="inlineStr">
        <x:is>
          <x:t xml:space="preserve">External</x:t>
        </x:is>
      </x:c>
      <x:c r="C12" s="9" t="inlineStr">
        <x:is>
          <x:t xml:space="preserve">Yes</x:t>
        </x:is>
      </x:c>
      <x:c r="D12" s="9" t="inlineStr">
        <x:is>
          <x:t xml:space="preserve">GET</x:t>
        </x:is>
      </x:c>
      <x:c r="E12" s="9" t="inlineStr">
        <x:is>
          <x:t xml:space="preserve">/api/v1/reservations/{reservationId}</x:t>
        </x:is>
      </x:c>
      <x:c r="F12" s="9" t="inlineStr">
        <x:is>
          <x:t xml:space="preserve">예약 상세 조회</x:t>
        </x:is>
      </x:c>
      <x:c r="G12" s="9" t="inlineStr">
        <x:is>
          <x:t xml:space="preserve">@AuthUserId -&gt; X-Auth-User-Id</x:t>
        </x:is>
      </x:c>
      <x:c r="H12" s="9" t="inlineStr">
        <x:is>
          <x:t xml:space="preserve">X-Auth-User-Id(required), X-Correlation-Id(optional)</x:t>
        </x:is>
      </x:c>
      <x:c r="I12" s="9" t="inlineStr">
        <x:is>
          <x:t xml:space="preserve">Path: reservationId</x:t>
        </x:is>
      </x:c>
      <x:c r="J12" s="9" t="inlineStr">
        <x:is>
          <x:t xml:space="preserve">ReservationResponseDTO</x:t>
        </x:is>
      </x:c>
      <x:c r="K12" s="9" t="inlineStr">
        <x:is>
          <x:t xml:space="preserve">N/A</x:t>
        </x:is>
      </x:c>
      <x:c r="L12" s="9" t="inlineStr">
        <x:is>
          <x:t xml:space="preserve">본인 예약만 조회 가능.</x:t>
        </x:is>
      </x:c>
      <x:c r="M12" s="9" t="inlineStr">
        <x:is>
          <x:t xml:space="preserve">booking-app/.../ReservationController.java</x:t>
        </x:is>
      </x:c>
    </x:row>
    <x:row r="13">
      <x:c r="A13" s="9" t="inlineStr">
        <x:is>
          <x:t xml:space="preserve">booking-app</x:t>
        </x:is>
      </x:c>
      <x:c r="B13" s="10" t="inlineStr">
        <x:is>
          <x:t xml:space="preserve">External</x:t>
        </x:is>
      </x:c>
      <x:c r="C13" s="9" t="inlineStr">
        <x:is>
          <x:t xml:space="preserve">Yes</x:t>
        </x:is>
      </x:c>
      <x:c r="D13" s="9" t="inlineStr">
        <x:is>
          <x:t xml:space="preserve">GET</x:t>
        </x:is>
      </x:c>
      <x:c r="E13" s="9" t="inlineStr">
        <x:is>
          <x:t xml:space="preserve">/api/v1/users/me/reservations</x:t>
        </x:is>
      </x:c>
      <x:c r="F13" s="9" t="inlineStr">
        <x:is>
          <x:t xml:space="preserve">내 예약 목록 조회</x:t>
        </x:is>
      </x:c>
      <x:c r="G13" s="9" t="inlineStr">
        <x:is>
          <x:t xml:space="preserve">@AuthUserId -&gt; X-Auth-User-Id</x:t>
        </x:is>
      </x:c>
      <x:c r="H13" s="9" t="inlineStr">
        <x:is>
          <x:t xml:space="preserve">X-Auth-User-Id(required), X-Correlation-Id(optional)</x:t>
        </x:is>
      </x:c>
      <x:c r="I13" s="9" t="inlineStr">
        <x:is>
          <x:t xml:space="preserve">Query: status?, page?, size?, sort?</x:t>
        </x:is>
      </x:c>
      <x:c r="J13" s="9" t="inlineStr">
        <x:is>
          <x:t xml:space="preserve">PageResponse&lt;ReservationSummaryResponseDTO&gt;</x:t>
        </x:is>
      </x:c>
      <x:c r="K13" s="9" t="inlineStr">
        <x:is>
          <x:t xml:space="preserve">N/A</x:t>
        </x:is>
      </x:c>
      <x:c r="L13" s="9" t="inlineStr">
        <x:is>
          <x:t xml:space="preserve">SCG에서 user-app보다 booking-app route가 먼저 평가되어야 하는 경로.</x:t>
        </x:is>
      </x:c>
      <x:c r="M13" s="9" t="inlineStr">
        <x:is>
          <x:t xml:space="preserve">booking-app/.../ReservationController.java</x:t>
        </x:is>
      </x:c>
    </x:row>
    <x:row r="14">
      <x:c r="A14" s="9" t="inlineStr">
        <x:is>
          <x:t xml:space="preserve">booking-app</x:t>
        </x:is>
      </x:c>
      <x:c r="B14" s="10" t="inlineStr">
        <x:is>
          <x:t xml:space="preserve">External</x:t>
        </x:is>
      </x:c>
      <x:c r="C14" s="9" t="inlineStr">
        <x:is>
          <x:t xml:space="preserve">Yes</x:t>
        </x:is>
      </x:c>
      <x:c r="D14" s="9" t="inlineStr">
        <x:is>
          <x:t xml:space="preserve">DELETE</x:t>
        </x:is>
      </x:c>
      <x:c r="E14" s="9" t="inlineStr">
        <x:is>
          <x:t xml:space="preserve">/api/v1/reservations/{reservationId}</x:t>
        </x:is>
      </x:c>
      <x:c r="F14" s="9" t="inlineStr">
        <x:is>
          <x:t xml:space="preserve">예약 취소</x:t>
        </x:is>
      </x:c>
      <x:c r="G14" s="9" t="inlineStr">
        <x:is>
          <x:t xml:space="preserve">@AuthUserId -&gt; X-Auth-User-Id</x:t>
        </x:is>
      </x:c>
      <x:c r="H14" s="9" t="inlineStr">
        <x:is>
          <x:t xml:space="preserve">X-Auth-User-Id(required), X-Correlation-Id(optional)</x:t>
        </x:is>
      </x:c>
      <x:c r="I14" s="9" t="inlineStr">
        <x:is>
          <x:t xml:space="preserve">Path: reservationId</x:t>
        </x:is>
      </x:c>
      <x:c r="J14" s="9" t="inlineStr">
        <x:is>
          <x:t xml:space="preserve">ReservationStatusResponseDTO</x:t>
        </x:is>
      </x:c>
      <x:c r="K14" s="9" t="inlineStr">
        <x:is>
          <x:t xml:space="preserve">권장(향후)</x:t>
        </x:is>
      </x:c>
      <x:c r="L14" s="9" t="inlineStr">
        <x:is>
          <x:t xml:space="preserve">PENDING 상태만 취소 가능. 취소 시 seat RELEASE.</x:t>
        </x:is>
      </x:c>
      <x:c r="M14" s="9" t="inlineStr">
        <x:is>
          <x:t xml:space="preserve">booking-app/.../ReservationController.java</x:t>
        </x:is>
      </x:c>
    </x:row>
    <x:row r="15">
      <x:c r="A15" s="9" t="inlineStr">
        <x:is>
          <x:t xml:space="preserve">payment-app</x:t>
        </x:is>
      </x:c>
      <x:c r="B15" s="10" t="inlineStr">
        <x:is>
          <x:t xml:space="preserve">External</x:t>
        </x:is>
      </x:c>
      <x:c r="C15" s="9" t="inlineStr">
        <x:is>
          <x:t xml:space="preserve">Yes</x:t>
        </x:is>
      </x:c>
      <x:c r="D15" s="9" t="inlineStr">
        <x:is>
          <x:t xml:space="preserve">POST</x:t>
        </x:is>
      </x:c>
      <x:c r="E15" s="9" t="inlineStr">
        <x:is>
          <x:t xml:space="preserve">/api/v1/payments/prepare</x:t>
        </x:is>
      </x:c>
      <x:c r="F15" s="9" t="inlineStr">
        <x:is>
          <x:t xml:space="preserve">결제 준비</x:t>
        </x:is>
      </x:c>
      <x:c r="G15" s="9" t="inlineStr">
        <x:is>
          <x:t xml:space="preserve">@AuthUserId -&gt; X-Auth-User-Id</x:t>
        </x:is>
      </x:c>
      <x:c r="H15" s="9" t="inlineStr">
        <x:is>
          <x:t xml:space="preserve">X-Auth-User-Id(required), Idempotency-Key(required), X-Correlation-Id(optional)</x:t>
        </x:is>
      </x:c>
      <x:c r="I15" s="9" t="inlineStr">
        <x:is>
          <x:t xml:space="preserve">PaymentPrepareRequestDTO {reservationId, orderName?}</x:t>
        </x:is>
      </x:c>
      <x:c r="J15" s="9" t="inlineStr">
        <x:is>
          <x:t xml:space="preserve">PaymentPrepareResponseDTO</x:t>
        </x:is>
      </x:c>
      <x:c r="K15" s="11" t="inlineStr">
        <x:is>
          <x:t xml:space="preserve">필수</x:t>
        </x:is>
      </x:c>
      <x:c r="L15" s="9" t="inlineStr">
        <x:is>
          <x:t xml:space="preserve">reservation/seat 상태를 확인하고 server-side orderId, amount를 생성.</x:t>
        </x:is>
      </x:c>
      <x:c r="M15" s="9" t="inlineStr">
        <x:is>
          <x:t xml:space="preserve">payment-app/.../PaymentController.java</x:t>
        </x:is>
      </x:c>
    </x:row>
    <x:row r="16">
      <x:c r="A16" s="9" t="inlineStr">
        <x:is>
          <x:t xml:space="preserve">payment-app</x:t>
        </x:is>
      </x:c>
      <x:c r="B16" s="10" t="inlineStr">
        <x:is>
          <x:t xml:space="preserve">External</x:t>
        </x:is>
      </x:c>
      <x:c r="C16" s="9" t="inlineStr">
        <x:is>
          <x:t xml:space="preserve">Yes</x:t>
        </x:is>
      </x:c>
      <x:c r="D16" s="9" t="inlineStr">
        <x:is>
          <x:t xml:space="preserve">POST</x:t>
        </x:is>
      </x:c>
      <x:c r="E16" s="9" t="inlineStr">
        <x:is>
          <x:t xml:space="preserve">/api/v1/payments/confirm</x:t>
        </x:is>
      </x:c>
      <x:c r="F16" s="9" t="inlineStr">
        <x:is>
          <x:t xml:space="preserve">결제 승인</x:t>
        </x:is>
      </x:c>
      <x:c r="G16" s="9" t="inlineStr">
        <x:is>
          <x:t xml:space="preserve">@AuthUserId -&gt; X-Auth-User-Id</x:t>
        </x:is>
      </x:c>
      <x:c r="H16" s="9" t="inlineStr">
        <x:is>
          <x:t xml:space="preserve">X-Auth-User-Id(required), Idempotency-Key(required), X-Correlation-Id(optional)</x:t>
        </x:is>
      </x:c>
      <x:c r="I16" s="9" t="inlineStr">
        <x:is>
          <x:t xml:space="preserve">PaymentConfirmRequestDTO {reservationId, paymentKey, orderId, amount}</x:t>
        </x:is>
      </x:c>
      <x:c r="J16" s="9" t="inlineStr">
        <x:is>
          <x:t xml:space="preserve">PaymentResponseDTO</x:t>
        </x:is>
      </x:c>
      <x:c r="K16" s="11" t="inlineStr">
        <x:is>
          <x:t xml:space="preserve">필수</x:t>
        </x:is>
      </x:c>
      <x:c r="L16" s="9" t="inlineStr">
        <x:is>
          <x:t xml:space="preserve">토스 승인 -&gt; payment DONE -&gt; booking confirm. 실패 시 자동 환불 보상 가능.</x:t>
        </x:is>
      </x:c>
      <x:c r="M16" s="9" t="inlineStr">
        <x:is>
          <x:t xml:space="preserve">payment-app/.../PaymentController.java</x:t>
        </x:is>
      </x:c>
    </x:row>
    <x:row r="17">
      <x:c r="A17" s="9" t="inlineStr">
        <x:is>
          <x:t xml:space="preserve">payment-app</x:t>
        </x:is>
      </x:c>
      <x:c r="B17" s="10" t="inlineStr">
        <x:is>
          <x:t xml:space="preserve">External</x:t>
        </x:is>
      </x:c>
      <x:c r="C17" s="9" t="inlineStr">
        <x:is>
          <x:t xml:space="preserve">Yes</x:t>
        </x:is>
      </x:c>
      <x:c r="D17" s="9" t="inlineStr">
        <x:is>
          <x:t xml:space="preserve">POST</x:t>
        </x:is>
      </x:c>
      <x:c r="E17" s="9" t="inlineStr">
        <x:is>
          <x:t xml:space="preserve">/api/v1/payments/{paymentId}/cancel</x:t>
        </x:is>
      </x:c>
      <x:c r="F17" s="9" t="inlineStr">
        <x:is>
          <x:t xml:space="preserve">결제 취소</x:t>
        </x:is>
      </x:c>
      <x:c r="G17" s="9" t="inlineStr">
        <x:is>
          <x:t xml:space="preserve">@AuthUserId -&gt; X-Auth-User-Id</x:t>
        </x:is>
      </x:c>
      <x:c r="H17" s="9" t="inlineStr">
        <x:is>
          <x:t xml:space="preserve">X-Auth-User-Id(required), Idempotency-Key(required), X-Correlation-Id(optional)</x:t>
        </x:is>
      </x:c>
      <x:c r="I17" s="9" t="inlineStr">
        <x:is>
          <x:t xml:space="preserve">Path: paymentId, Body: PaymentCancelRequestDTO {cancelReason}</x:t>
        </x:is>
      </x:c>
      <x:c r="J17" s="9" t="inlineStr">
        <x:is>
          <x:t xml:space="preserve">PaymentResponseDTO</x:t>
        </x:is>
      </x:c>
      <x:c r="K17" s="11" t="inlineStr">
        <x:is>
          <x:t xml:space="preserve">필수</x:t>
        </x:is>
      </x:c>
      <x:c r="L17" s="9" t="inlineStr">
        <x:is>
          <x:t xml:space="preserve">전액 취소 중심. 취소 후 booking cancel-confirmed 호출.</x:t>
        </x:is>
      </x:c>
      <x:c r="M17" s="9" t="inlineStr">
        <x:is>
          <x:t xml:space="preserve">payment-app/.../PaymentController.java</x:t>
        </x:is>
      </x:c>
    </x:row>
    <x:row r="18">
      <x:c r="A18" s="9" t="inlineStr">
        <x:is>
          <x:t xml:space="preserve">payment-app</x:t>
        </x:is>
      </x:c>
      <x:c r="B18" s="10" t="inlineStr">
        <x:is>
          <x:t xml:space="preserve">External</x:t>
        </x:is>
      </x:c>
      <x:c r="C18" s="9" t="inlineStr">
        <x:is>
          <x:t xml:space="preserve">Yes</x:t>
        </x:is>
      </x:c>
      <x:c r="D18" s="9" t="inlineStr">
        <x:is>
          <x:t xml:space="preserve">GET</x:t>
        </x:is>
      </x:c>
      <x:c r="E18" s="9" t="inlineStr">
        <x:is>
          <x:t xml:space="preserve">/api/v1/payments/{paymentId}</x:t>
        </x:is>
      </x:c>
      <x:c r="F18" s="9" t="inlineStr">
        <x:is>
          <x:t xml:space="preserve">결제 상세 조회</x:t>
        </x:is>
      </x:c>
      <x:c r="G18" s="9" t="inlineStr">
        <x:is>
          <x:t xml:space="preserve">@AuthUserId -&gt; X-Auth-User-Id</x:t>
        </x:is>
      </x:c>
      <x:c r="H18" s="9" t="inlineStr">
        <x:is>
          <x:t xml:space="preserve">X-Auth-User-Id(required), X-Correlation-Id(optional)</x:t>
        </x:is>
      </x:c>
      <x:c r="I18" s="9" t="inlineStr">
        <x:is>
          <x:t xml:space="preserve">Path: paymentId</x:t>
        </x:is>
      </x:c>
      <x:c r="J18" s="9" t="inlineStr">
        <x:is>
          <x:t xml:space="preserve">PaymentResponseDTO</x:t>
        </x:is>
      </x:c>
      <x:c r="K18" s="9" t="inlineStr">
        <x:is>
          <x:t xml:space="preserve">N/A</x:t>
        </x:is>
      </x:c>
      <x:c r="L18" s="9" t="inlineStr">
        <x:is>
          <x:t xml:space="preserve">본인 결제만 조회 가능.</x:t>
        </x:is>
      </x:c>
      <x:c r="M18" s="9" t="inlineStr">
        <x:is>
          <x:t xml:space="preserve">payment-app/.../PaymentController.java</x:t>
        </x:is>
      </x:c>
    </x:row>
    <x:row r="19">
      <x:c r="A19" s="9" t="inlineStr">
        <x:is>
          <x:t xml:space="preserve">payment-app</x:t>
        </x:is>
      </x:c>
      <x:c r="B19" s="10" t="inlineStr">
        <x:is>
          <x:t xml:space="preserve">External</x:t>
        </x:is>
      </x:c>
      <x:c r="C19" s="9" t="inlineStr">
        <x:is>
          <x:t xml:space="preserve">Yes</x:t>
        </x:is>
      </x:c>
      <x:c r="D19" s="9" t="inlineStr">
        <x:is>
          <x:t xml:space="preserve">GET</x:t>
        </x:is>
      </x:c>
      <x:c r="E19" s="9" t="inlineStr">
        <x:is>
          <x:t xml:space="preserve">/api/v1/payments/orders/{orderId}</x:t>
        </x:is>
      </x:c>
      <x:c r="F19" s="9" t="inlineStr">
        <x:is>
          <x:t xml:space="preserve">주문번호 기준 결제 조회</x:t>
        </x:is>
      </x:c>
      <x:c r="G19" s="9" t="inlineStr">
        <x:is>
          <x:t xml:space="preserve">@AuthUserId -&gt; X-Auth-User-Id</x:t>
        </x:is>
      </x:c>
      <x:c r="H19" s="9" t="inlineStr">
        <x:is>
          <x:t xml:space="preserve">X-Auth-User-Id(required), X-Correlation-Id(optional)</x:t>
        </x:is>
      </x:c>
      <x:c r="I19" s="9" t="inlineStr">
        <x:is>
          <x:t xml:space="preserve">Path: orderId</x:t>
        </x:is>
      </x:c>
      <x:c r="J19" s="9" t="inlineStr">
        <x:is>
          <x:t xml:space="preserve">PaymentResponseDTO</x:t>
        </x:is>
      </x:c>
      <x:c r="K19" s="9" t="inlineStr">
        <x:is>
          <x:t xml:space="preserve">N/A</x:t>
        </x:is>
      </x:c>
      <x:c r="L19" s="9" t="inlineStr">
        <x:is>
          <x:t xml:space="preserve">orderId 기반 상태 확인용.</x:t>
        </x:is>
      </x:c>
      <x:c r="M19" s="9" t="inlineStr">
        <x:is>
          <x:t xml:space="preserve">payment-app/.../PaymentController.java</x:t>
        </x:is>
      </x:c>
    </x:row>
    <x:row r="20">
      <x:c r="A20" s="9" t="inlineStr">
        <x:is>
          <x:t xml:space="preserve">user-app</x:t>
        </x:is>
      </x:c>
      <x:c r="B20" s="10" t="inlineStr">
        <x:is>
          <x:t xml:space="preserve">External</x:t>
        </x:is>
      </x:c>
      <x:c r="C20" s="9" t="inlineStr">
        <x:is>
          <x:t xml:space="preserve">Yes</x:t>
        </x:is>
      </x:c>
      <x:c r="D20" s="9" t="inlineStr">
        <x:is>
          <x:t xml:space="preserve">POST</x:t>
        </x:is>
      </x:c>
      <x:c r="E20" s="9" t="inlineStr">
        <x:is>
          <x:t xml:space="preserve">/api/v1/users/signup</x:t>
        </x:is>
      </x:c>
      <x:c r="F20" s="9" t="inlineStr">
        <x:is>
          <x:t xml:space="preserve">회원 가입</x:t>
        </x:is>
      </x:c>
      <x:c r="G20" s="9" t="inlineStr">
        <x:is>
          <x:t xml:space="preserve">없음</x:t>
        </x:is>
      </x:c>
      <x:c r="H20" s="9" t="inlineStr">
        <x:is>
          <x:t xml:space="preserve">X-Correlation-Id(optional)</x:t>
        </x:is>
      </x:c>
      <x:c r="I20" s="9" t="inlineStr">
        <x:is>
          <x:t xml:space="preserve">UserRequestDTO {email, name, password}</x:t>
        </x:is>
      </x:c>
      <x:c r="J20" s="9" t="inlineStr">
        <x:is>
          <x:t xml:space="preserve">UserResponseDTO</x:t>
        </x:is>
      </x:c>
      <x:c r="K20" s="9" t="inlineStr">
        <x:is>
          <x:t xml:space="preserve">권장(향후)</x:t>
        </x:is>
      </x:c>
      <x:c r="L20" s="9" t="inlineStr">
        <x:is>
          <x:t xml:space="preserve">현재 공개. 중복 이메일 검증.</x:t>
        </x:is>
      </x:c>
      <x:c r="M20" s="9" t="inlineStr">
        <x:is>
          <x:t xml:space="preserve">user-app/.../UserController.java</x:t>
        </x:is>
      </x:c>
    </x:row>
    <x:row r="21">
      <x:c r="A21" s="9" t="inlineStr">
        <x:is>
          <x:t xml:space="preserve">user-app</x:t>
        </x:is>
      </x:c>
      <x:c r="B21" s="10" t="inlineStr">
        <x:is>
          <x:t xml:space="preserve">External</x:t>
        </x:is>
      </x:c>
      <x:c r="C21" s="9" t="inlineStr">
        <x:is>
          <x:t xml:space="preserve">Yes</x:t>
        </x:is>
      </x:c>
      <x:c r="D21" s="9" t="inlineStr">
        <x:is>
          <x:t xml:space="preserve">GET</x:t>
        </x:is>
      </x:c>
      <x:c r="E21" s="9" t="inlineStr">
        <x:is>
          <x:t xml:space="preserve">/api/v1/users/{userId}</x:t>
        </x:is>
      </x:c>
      <x:c r="F21" s="9" t="inlineStr">
        <x:is>
          <x:t xml:space="preserve">회원 정보 조회</x:t>
        </x:is>
      </x:c>
      <x:c r="G21" s="9" t="inlineStr">
        <x:is>
          <x:t xml:space="preserve">없음(현재), 본인/관리자 제한 권장</x:t>
        </x:is>
      </x:c>
      <x:c r="H21" s="9" t="inlineStr">
        <x:is>
          <x:t xml:space="preserve">X-Correlation-Id(optional)</x:t>
        </x:is>
      </x:c>
      <x:c r="I21" s="9" t="inlineStr">
        <x:is>
          <x:t xml:space="preserve">Path: userId</x:t>
        </x:is>
      </x:c>
      <x:c r="J21" s="9" t="inlineStr">
        <x:is>
          <x:t xml:space="preserve">UserResponseDTO</x:t>
        </x:is>
      </x:c>
      <x:c r="K21" s="9" t="inlineStr">
        <x:is>
          <x:t xml:space="preserve">N/A</x:t>
        </x:is>
      </x:c>
      <x:c r="L21" s="9" t="inlineStr">
        <x:is>
          <x:t xml:space="preserve">staging 데모용 오픈 상태. production 전환 시 권한 분리 필요.</x:t>
        </x:is>
      </x:c>
      <x:c r="M21" s="9" t="inlineStr">
        <x:is>
          <x:t xml:space="preserve">user-app/.../UserController.java</x:t>
        </x:is>
      </x:c>
    </x:row>
    <x:row r="22">
      <x:c r="A22" s="9" t="inlineStr">
        <x:is>
          <x:t xml:space="preserve">user-app</x:t>
        </x:is>
      </x:c>
      <x:c r="B22" s="10" t="inlineStr">
        <x:is>
          <x:t xml:space="preserve">External</x:t>
        </x:is>
      </x:c>
      <x:c r="C22" s="9" t="inlineStr">
        <x:is>
          <x:t xml:space="preserve">Yes</x:t>
        </x:is>
      </x:c>
      <x:c r="D22" s="9" t="inlineStr">
        <x:is>
          <x:t xml:space="preserve">GET</x:t>
        </x:is>
      </x:c>
      <x:c r="E22" s="9" t="inlineStr">
        <x:is>
          <x:t xml:space="preserve">/api/v1/users/ai-test</x:t>
        </x:is>
      </x:c>
      <x:c r="F22" s="9" t="inlineStr">
        <x:is>
          <x:t xml:space="preserve">AI 서킷 브레이커 테스트</x:t>
        </x:is>
      </x:c>
      <x:c r="G22" s="9" t="inlineStr">
        <x:is>
          <x:t xml:space="preserve">없음</x:t>
        </x:is>
      </x:c>
      <x:c r="H22" s="9" t="inlineStr">
        <x:is>
          <x:t xml:space="preserve">X-Correlation-Id(optional)</x:t>
        </x:is>
      </x:c>
      <x:c r="I22" s="9" t="inlineStr">
        <x:is>
          <x:t xml:space="preserve">없음</x:t>
        </x:is>
      </x:c>
      <x:c r="J22" s="9" t="inlineStr">
        <x:is>
          <x:t xml:space="preserve">String</x:t>
        </x:is>
      </x:c>
      <x:c r="K22" s="9" t="inlineStr">
        <x:is>
          <x:t xml:space="preserve">N/A</x:t>
        </x:is>
      </x:c>
      <x:c r="L22" s="9" t="inlineStr">
        <x:is>
          <x:t xml:space="preserve">회복탄력성 지표 생성용 테스트 엔드포인트.</x:t>
        </x:is>
      </x:c>
      <x:c r="M22" s="9" t="inlineStr">
        <x:is>
          <x:t xml:space="preserve">user-app/.../UserController.java</x:t>
        </x:is>
      </x:c>
    </x:row>
    <x:row r="23">
      <x:c r="A23" s="9" t="inlineStr">
        <x:is>
          <x:t xml:space="preserve">waitingroom-app</x:t>
        </x:is>
      </x:c>
      <x:c r="B23" s="12" t="inlineStr">
        <x:is>
          <x:t xml:space="preserve">Internal</x:t>
        </x:is>
      </x:c>
      <x:c r="C23" s="9" t="inlineStr">
        <x:is>
          <x:t xml:space="preserve">No</x:t>
        </x:is>
      </x:c>
      <x:c r="D23" s="9" t="inlineStr">
        <x:is>
          <x:t xml:space="preserve">POST</x:t>
        </x:is>
      </x:c>
      <x:c r="E23" s="9" t="inlineStr">
        <x:is>
          <x:t xml:space="preserve">/internal/v1/waiting-room/tokens/validate</x:t>
        </x:is>
      </x:c>
      <x:c r="F23" s="9" t="inlineStr">
        <x:is>
          <x:t xml:space="preserve">활성 토큰 검증</x:t>
        </x:is>
      </x:c>
      <x:c r="G23" s="9" t="inlineStr">
        <x:is>
          <x:t xml:space="preserve">서비스 간 내부 호출</x:t>
        </x:is>
      </x:c>
      <x:c r="H23" s="9" t="inlineStr">
        <x:is>
          <x:t xml:space="preserve">X-Internal-Caller, X-Correlation-Id</x:t>
        </x:is>
      </x:c>
      <x:c r="I23" s="9" t="inlineStr">
        <x:is>
          <x:t xml:space="preserve">ValidateTokenRequest {tokenId, userId, eventId}</x:t>
        </x:is>
      </x:c>
      <x:c r="J23" s="9" t="inlineStr">
        <x:is>
          <x:t xml:space="preserve">ValidateTokenResponse</x:t>
        </x:is>
      </x:c>
      <x:c r="K23" s="9" t="inlineStr">
        <x:is>
          <x:t xml:space="preserve">N/A</x:t>
        </x:is>
      </x:c>
      <x:c r="L23" s="9" t="inlineStr">
        <x:is>
          <x:t xml:space="preserve">410 EXPIRED, 409 ALREADY_USED, 422 INVALID 반환.</x:t>
        </x:is>
      </x:c>
      <x:c r="M23" s="9" t="inlineStr">
        <x:is>
          <x:t xml:space="preserve">waitingroom-app/.../InternalWaitingRoomTokenController.java</x:t>
        </x:is>
      </x:c>
    </x:row>
    <x:row r="24">
      <x:c r="A24" s="9" t="inlineStr">
        <x:is>
          <x:t xml:space="preserve">waitingroom-app</x:t>
        </x:is>
      </x:c>
      <x:c r="B24" s="12" t="inlineStr">
        <x:is>
          <x:t xml:space="preserve">Internal</x:t>
        </x:is>
      </x:c>
      <x:c r="C24" s="9" t="inlineStr">
        <x:is>
          <x:t xml:space="preserve">No</x:t>
        </x:is>
      </x:c>
      <x:c r="D24" s="9" t="inlineStr">
        <x:is>
          <x:t xml:space="preserve">POST</x:t>
        </x:is>
      </x:c>
      <x:c r="E24" s="9" t="inlineStr">
        <x:is>
          <x:t xml:space="preserve">/internal/v1/waiting-room/tokens/{tokenId}/consume</x:t>
        </x:is>
      </x:c>
      <x:c r="F24" s="9" t="inlineStr">
        <x:is>
          <x:t xml:space="preserve">활성 토큰 소모</x:t>
        </x:is>
      </x:c>
      <x:c r="G24" s="9" t="inlineStr">
        <x:is>
          <x:t xml:space="preserve">서비스 간 내부 호출</x:t>
        </x:is>
      </x:c>
      <x:c r="H24" s="9" t="inlineStr">
        <x:is>
          <x:t xml:space="preserve">X-Internal-Caller, X-Correlation-Id</x:t>
        </x:is>
      </x:c>
      <x:c r="I24" s="9" t="inlineStr">
        <x:is>
          <x:t xml:space="preserve">ConsumeTokenRequest {usedBy}</x:t>
        </x:is>
      </x:c>
      <x:c r="J24" s="9" t="inlineStr">
        <x:is>
          <x:t xml:space="preserve">ConsumeTokenResponse</x:t>
        </x:is>
      </x:c>
      <x:c r="K24" s="9" t="inlineStr">
        <x:is>
          <x:t xml:space="preserve">권장(향후)</x:t>
        </x:is>
      </x:c>
      <x:c r="L24" s="9" t="inlineStr">
        <x:is>
          <x:t xml:space="preserve">booking-app에서 reservation 저장 후 호출.</x:t>
        </x:is>
      </x:c>
      <x:c r="M24" s="9" t="inlineStr">
        <x:is>
          <x:t xml:space="preserve">waitingroom-app/.../InternalWaitingRoomTokenController.java</x:t>
        </x:is>
      </x:c>
    </x:row>
    <x:row r="25">
      <x:c r="A25" s="9" t="inlineStr">
        <x:is>
          <x:t xml:space="preserve">concert-app</x:t>
        </x:is>
      </x:c>
      <x:c r="B25" s="12" t="inlineStr">
        <x:is>
          <x:t xml:space="preserve">Internal</x:t>
        </x:is>
      </x:c>
      <x:c r="C25" s="9" t="inlineStr">
        <x:is>
          <x:t xml:space="preserve">No</x:t>
        </x:is>
      </x:c>
      <x:c r="D25" s="9" t="inlineStr">
        <x:is>
          <x:t xml:space="preserve">GET</x:t>
        </x:is>
      </x:c>
      <x:c r="E25" s="9" t="inlineStr">
        <x:is>
          <x:t xml:space="preserve">/internal/v1/seats/{seatId}</x:t>
        </x:is>
      </x:c>
      <x:c r="F25" s="9" t="inlineStr">
        <x:is>
          <x:t xml:space="preserve">좌석 상세 조회</x:t>
        </x:is>
      </x:c>
      <x:c r="G25" s="9" t="inlineStr">
        <x:is>
          <x:t xml:space="preserve">서비스 간 내부 호출</x:t>
        </x:is>
      </x:c>
      <x:c r="H25" s="9" t="inlineStr">
        <x:is>
          <x:t xml:space="preserve">X-Internal-Caller, X-Correlation-Id</x:t>
        </x:is>
      </x:c>
      <x:c r="I25" s="9" t="inlineStr">
        <x:is>
          <x:t xml:space="preserve">Path: seatId</x:t>
        </x:is>
      </x:c>
      <x:c r="J25" s="9" t="inlineStr">
        <x:is>
          <x:t xml:space="preserve">SeatDetailResponse</x:t>
        </x:is>
      </x:c>
      <x:c r="K25" s="9" t="inlineStr">
        <x:is>
          <x:t xml:space="preserve">N/A</x:t>
        </x:is>
      </x:c>
      <x:c r="L25" s="9" t="inlineStr">
        <x:is>
          <x:t xml:space="preserve">seatId, scheduleId, eventId, seatNo, price, status, version 반환.</x:t>
        </x:is>
      </x:c>
      <x:c r="M25" s="9" t="inlineStr">
        <x:is>
          <x:t xml:space="preserve">concert-app/.../InternalSeatController.java</x:t>
        </x:is>
      </x:c>
    </x:row>
    <x:row r="26">
      <x:c r="A26" s="9" t="inlineStr">
        <x:is>
          <x:t xml:space="preserve">concert-app</x:t>
        </x:is>
      </x:c>
      <x:c r="B26" s="12" t="inlineStr">
        <x:is>
          <x:t xml:space="preserve">Internal</x:t>
        </x:is>
      </x:c>
      <x:c r="C26" s="9" t="inlineStr">
        <x:is>
          <x:t xml:space="preserve">No</x:t>
        </x:is>
      </x:c>
      <x:c r="D26" s="9" t="inlineStr">
        <x:is>
          <x:t xml:space="preserve">POST</x:t>
        </x:is>
      </x:c>
      <x:c r="E26" s="9" t="inlineStr">
        <x:is>
          <x:t xml:space="preserve">/internal/v1/seats/{seatId}/hold</x:t>
        </x:is>
      </x:c>
      <x:c r="F26" s="9" t="inlineStr">
        <x:is>
          <x:t xml:space="preserve">좌석 HOLD</x:t>
        </x:is>
      </x:c>
      <x:c r="G26" s="9" t="inlineStr">
        <x:is>
          <x:t xml:space="preserve">서비스 간 내부 호출</x:t>
        </x:is>
      </x:c>
      <x:c r="H26" s="9" t="inlineStr">
        <x:is>
          <x:t xml:space="preserve">X-Internal-Caller, X-Correlation-Id</x:t>
        </x:is>
      </x:c>
      <x:c r="I26" s="9" t="inlineStr">
        <x:is>
          <x:t xml:space="preserve">SeatCommandRequest {expectedStatus}</x:t>
        </x:is>
      </x:c>
      <x:c r="J26" s="9" t="inlineStr">
        <x:is>
          <x:t xml:space="preserve">SeatCommandResponse</x:t>
        </x:is>
      </x:c>
      <x:c r="K26" s="9" t="inlineStr">
        <x:is>
          <x:t xml:space="preserve">권장(향후)</x:t>
        </x:is>
      </x:c>
      <x:c r="L26" s="9" t="inlineStr">
        <x:is>
          <x:t xml:space="preserve">AVAILABLE -&gt; HOLD. optimistic lock 충돌 시 409.</x:t>
        </x:is>
      </x:c>
      <x:c r="M26" s="9" t="inlineStr">
        <x:is>
          <x:t xml:space="preserve">concert-app/.../InternalSeatController.java</x:t>
        </x:is>
      </x:c>
    </x:row>
    <x:row r="27">
      <x:c r="A27" s="9" t="inlineStr">
        <x:is>
          <x:t xml:space="preserve">concert-app</x:t>
        </x:is>
      </x:c>
      <x:c r="B27" s="12" t="inlineStr">
        <x:is>
          <x:t xml:space="preserve">Internal</x:t>
        </x:is>
      </x:c>
      <x:c r="C27" s="9" t="inlineStr">
        <x:is>
          <x:t xml:space="preserve">No</x:t>
        </x:is>
      </x:c>
      <x:c r="D27" s="9" t="inlineStr">
        <x:is>
          <x:t xml:space="preserve">POST</x:t>
        </x:is>
      </x:c>
      <x:c r="E27" s="9" t="inlineStr">
        <x:is>
          <x:t xml:space="preserve">/internal/v1/seats/{seatId}/release</x:t>
        </x:is>
      </x:c>
      <x:c r="F27" s="9" t="inlineStr">
        <x:is>
          <x:t xml:space="preserve">좌석 RELEASE</x:t>
        </x:is>
      </x:c>
      <x:c r="G27" s="9" t="inlineStr">
        <x:is>
          <x:t xml:space="preserve">서비스 간 내부 호출</x:t>
        </x:is>
      </x:c>
      <x:c r="H27" s="9" t="inlineStr">
        <x:is>
          <x:t xml:space="preserve">X-Internal-Caller, X-Correlation-Id</x:t>
        </x:is>
      </x:c>
      <x:c r="I27" s="9" t="inlineStr">
        <x:is>
          <x:t xml:space="preserve">SeatCommandRequest {expectedStatus}</x:t>
        </x:is>
      </x:c>
      <x:c r="J27" s="9" t="inlineStr">
        <x:is>
          <x:t xml:space="preserve">SeatCommandResponse</x:t>
        </x:is>
      </x:c>
      <x:c r="K27" s="9" t="inlineStr">
        <x:is>
          <x:t xml:space="preserve">권장(향후)</x:t>
        </x:is>
      </x:c>
      <x:c r="L27" s="9" t="inlineStr">
        <x:is>
          <x:t xml:space="preserve">HOLD -&gt; AVAILABLE.</x:t>
        </x:is>
      </x:c>
      <x:c r="M27" s="9" t="inlineStr">
        <x:is>
          <x:t xml:space="preserve">concert-app/.../InternalSeatController.java</x:t>
        </x:is>
      </x:c>
    </x:row>
    <x:row r="28">
      <x:c r="A28" s="9" t="inlineStr">
        <x:is>
          <x:t xml:space="preserve">concert-app</x:t>
        </x:is>
      </x:c>
      <x:c r="B28" s="12" t="inlineStr">
        <x:is>
          <x:t xml:space="preserve">Internal</x:t>
        </x:is>
      </x:c>
      <x:c r="C28" s="9" t="inlineStr">
        <x:is>
          <x:t xml:space="preserve">No</x:t>
        </x:is>
      </x:c>
      <x:c r="D28" s="9" t="inlineStr">
        <x:is>
          <x:t xml:space="preserve">POST</x:t>
        </x:is>
      </x:c>
      <x:c r="E28" s="9" t="inlineStr">
        <x:is>
          <x:t xml:space="preserve">/internal/v1/seats/{seatId}/confirm</x:t>
        </x:is>
      </x:c>
      <x:c r="F28" s="9" t="inlineStr">
        <x:is>
          <x:t xml:space="preserve">좌석 CONFIRM</x:t>
        </x:is>
      </x:c>
      <x:c r="G28" s="9" t="inlineStr">
        <x:is>
          <x:t xml:space="preserve">서비스 간 내부 호출</x:t>
        </x:is>
      </x:c>
      <x:c r="H28" s="9" t="inlineStr">
        <x:is>
          <x:t xml:space="preserve">X-Internal-Caller, X-Correlation-Id</x:t>
        </x:is>
      </x:c>
      <x:c r="I28" s="9" t="inlineStr">
        <x:is>
          <x:t xml:space="preserve">SeatCommandRequest {expectedStatus}</x:t>
        </x:is>
      </x:c>
      <x:c r="J28" s="9" t="inlineStr">
        <x:is>
          <x:t xml:space="preserve">SeatCommandResponse</x:t>
        </x:is>
      </x:c>
      <x:c r="K28" s="9" t="inlineStr">
        <x:is>
          <x:t xml:space="preserve">권장(향후)</x:t>
        </x:is>
      </x:c>
      <x:c r="L28" s="9" t="inlineStr">
        <x:is>
          <x:t xml:space="preserve">HOLD -&gt; SOLD.</x:t>
        </x:is>
      </x:c>
      <x:c r="M28" s="9" t="inlineStr">
        <x:is>
          <x:t xml:space="preserve">concert-app/.../InternalSeatController.java</x:t>
        </x:is>
      </x:c>
    </x:row>
    <x:row r="29">
      <x:c r="A29" s="9" t="inlineStr">
        <x:is>
          <x:t xml:space="preserve">booking-app</x:t>
        </x:is>
      </x:c>
      <x:c r="B29" s="12" t="inlineStr">
        <x:is>
          <x:t xml:space="preserve">Internal</x:t>
        </x:is>
      </x:c>
      <x:c r="C29" s="9" t="inlineStr">
        <x:is>
          <x:t xml:space="preserve">No</x:t>
        </x:is>
      </x:c>
      <x:c r="D29" s="9" t="inlineStr">
        <x:is>
          <x:t xml:space="preserve">GET</x:t>
        </x:is>
      </x:c>
      <x:c r="E29" s="9" t="inlineStr">
        <x:is>
          <x:t xml:space="preserve">/internal/v1/reservations/{reservationId}</x:t>
        </x:is>
      </x:c>
      <x:c r="F29" s="9" t="inlineStr">
        <x:is>
          <x:t xml:space="preserve">예약 상세 조회</x:t>
        </x:is>
      </x:c>
      <x:c r="G29" s="9" t="inlineStr">
        <x:is>
          <x:t xml:space="preserve">서비스 간 내부 호출</x:t>
        </x:is>
      </x:c>
      <x:c r="H29" s="9" t="inlineStr">
        <x:is>
          <x:t xml:space="preserve">X-Internal-Caller, X-Correlation-Id</x:t>
        </x:is>
      </x:c>
      <x:c r="I29" s="9" t="inlineStr">
        <x:is>
          <x:t xml:space="preserve">Path: reservationId</x:t>
        </x:is>
      </x:c>
      <x:c r="J29" s="9" t="inlineStr">
        <x:is>
          <x:t xml:space="preserve">ReservationResponseDTO</x:t>
        </x:is>
      </x:c>
      <x:c r="K29" s="9" t="inlineStr">
        <x:is>
          <x:t xml:space="preserve">N/A</x:t>
        </x:is>
      </x:c>
      <x:c r="L29" s="9" t="inlineStr">
        <x:is>
          <x:t xml:space="preserve">payment-app에서 reservation 검증용.</x:t>
        </x:is>
      </x:c>
      <x:c r="M29" s="9" t="inlineStr">
        <x:is>
          <x:t xml:space="preserve">booking-app/.../InternalReservationController.java</x:t>
        </x:is>
      </x:c>
    </x:row>
    <x:row r="30">
      <x:c r="A30" s="9" t="inlineStr">
        <x:is>
          <x:t xml:space="preserve">booking-app</x:t>
        </x:is>
      </x:c>
      <x:c r="B30" s="12" t="inlineStr">
        <x:is>
          <x:t xml:space="preserve">Internal</x:t>
        </x:is>
      </x:c>
      <x:c r="C30" s="9" t="inlineStr">
        <x:is>
          <x:t xml:space="preserve">No</x:t>
        </x:is>
      </x:c>
      <x:c r="D30" s="9" t="inlineStr">
        <x:is>
          <x:t xml:space="preserve">POST</x:t>
        </x:is>
      </x:c>
      <x:c r="E30" s="9" t="inlineStr">
        <x:is>
          <x:t xml:space="preserve">/internal/v1/reservations/{reservationId}/confirm</x:t>
        </x:is>
      </x:c>
      <x:c r="F30" s="9" t="inlineStr">
        <x:is>
          <x:t xml:space="preserve">예약 확정</x:t>
        </x:is>
      </x:c>
      <x:c r="G30" s="9" t="inlineStr">
        <x:is>
          <x:t xml:space="preserve">서비스 간 내부 호출</x:t>
        </x:is>
      </x:c>
      <x:c r="H30" s="9" t="inlineStr">
        <x:is>
          <x:t xml:space="preserve">X-Internal-Caller, X-Correlation-Id</x:t>
        </x:is>
      </x:c>
      <x:c r="I30" s="9" t="inlineStr">
        <x:is>
          <x:t xml:space="preserve">ReservationConfirmRequestDTO {paymentId}</x:t>
        </x:is>
      </x:c>
      <x:c r="J30" s="9" t="inlineStr">
        <x:is>
          <x:t xml:space="preserve">ReservationStatusResponseDTO</x:t>
        </x:is>
      </x:c>
      <x:c r="K30" s="9" t="inlineStr">
        <x:is>
          <x:t xml:space="preserve">권장(향후)</x:t>
        </x:is>
      </x:c>
      <x:c r="L30" s="9" t="inlineStr">
        <x:is>
          <x:t xml:space="preserve">payment DONE 후 호출. seat CONFIRM 연계.</x:t>
        </x:is>
      </x:c>
      <x:c r="M30" s="9" t="inlineStr">
        <x:is>
          <x:t xml:space="preserve">booking-app/.../InternalReservationController.java</x:t>
        </x:is>
      </x:c>
    </x:row>
    <x:row r="31">
      <x:c r="A31" s="9" t="inlineStr">
        <x:is>
          <x:t xml:space="preserve">booking-app</x:t>
        </x:is>
      </x:c>
      <x:c r="B31" s="12" t="inlineStr">
        <x:is>
          <x:t xml:space="preserve">Internal</x:t>
        </x:is>
      </x:c>
      <x:c r="C31" s="9" t="inlineStr">
        <x:is>
          <x:t xml:space="preserve">No</x:t>
        </x:is>
      </x:c>
      <x:c r="D31" s="9" t="inlineStr">
        <x:is>
          <x:t xml:space="preserve">POST</x:t>
        </x:is>
      </x:c>
      <x:c r="E31" s="9" t="inlineStr">
        <x:is>
          <x:t xml:space="preserve">/internal/v1/reservations/{reservationId}/cancel-confirmed</x:t>
        </x:is>
      </x:c>
      <x:c r="F31" s="9" t="inlineStr">
        <x:is>
          <x:t xml:space="preserve">결제 취소에 따른 예약 취소</x:t>
        </x:is>
      </x:c>
      <x:c r="G31" s="9" t="inlineStr">
        <x:is>
          <x:t xml:space="preserve">서비스 간 내부 호출</x:t>
        </x:is>
      </x:c>
      <x:c r="H31" s="9" t="inlineStr">
        <x:is>
          <x:t xml:space="preserve">X-Internal-Caller, X-Correlation-Id</x:t>
        </x:is>
      </x:c>
      <x:c r="I31" s="9" t="inlineStr">
        <x:is>
          <x:t xml:space="preserve">Path: reservationId</x:t>
        </x:is>
      </x:c>
      <x:c r="J31" s="9" t="inlineStr">
        <x:is>
          <x:t xml:space="preserve">ReservationStatusResponseDTO</x:t>
        </x:is>
      </x:c>
      <x:c r="K31" s="9" t="inlineStr">
        <x:is>
          <x:t xml:space="preserve">권장(향후)</x:t>
        </x:is>
      </x:c>
      <x:c r="L31" s="9" t="inlineStr">
        <x:is>
          <x:t xml:space="preserve">payment CANCELLED 후 호출. seat RELEASE 연계.</x:t>
        </x:is>
      </x:c>
      <x:c r="M31" s="9" t="inlineStr">
        <x:is>
          <x:t xml:space="preserve">booking-app/.../InternalReservationController.java</x:t>
        </x:is>
      </x:c>
    </x:row>
    <x:row r="32">
      <x:c r="A32" s="9" t="inlineStr">
        <x:is>
          <x:t xml:space="preserve">booking-app</x:t>
        </x:is>
      </x:c>
      <x:c r="B32" s="12" t="inlineStr">
        <x:is>
          <x:t xml:space="preserve">Internal</x:t>
        </x:is>
      </x:c>
      <x:c r="C32" s="9" t="inlineStr">
        <x:is>
          <x:t xml:space="preserve">No</x:t>
        </x:is>
      </x:c>
      <x:c r="D32" s="9" t="inlineStr">
        <x:is>
          <x:t xml:space="preserve">POST</x:t>
        </x:is>
      </x:c>
      <x:c r="E32" s="9" t="inlineStr">
        <x:is>
          <x:t xml:space="preserve">/internal/v1/reservations/{reservationId}/expire</x:t>
        </x:is>
      </x:c>
      <x:c r="F32" s="9" t="inlineStr">
        <x:is>
          <x:t xml:space="preserve">예약 만료 처리</x:t>
        </x:is>
      </x:c>
      <x:c r="G32" s="9" t="inlineStr">
        <x:is>
          <x:t xml:space="preserve">서비스 간 내부 호출</x:t>
        </x:is>
      </x:c>
      <x:c r="H32" s="9" t="inlineStr">
        <x:is>
          <x:t xml:space="preserve">X-Internal-Caller, X-Correlation-Id</x:t>
        </x:is>
      </x:c>
      <x:c r="I32" s="9" t="inlineStr">
        <x:is>
          <x:t xml:space="preserve">Path: reservationId</x:t>
        </x:is>
      </x:c>
      <x:c r="J32" s="9" t="inlineStr">
        <x:is>
          <x:t xml:space="preserve">ReservationStatusResponseDTO</x:t>
        </x:is>
      </x:c>
      <x:c r="K32" s="9" t="inlineStr">
        <x:is>
          <x:t xml:space="preserve">권장(향후)</x:t>
        </x:is>
      </x:c>
      <x:c r="L32" s="9" t="inlineStr">
        <x:is>
          <x:t xml:space="preserve">PENDING &amp;&amp; expired 대상. seat RELEASE.</x:t>
        </x:is>
      </x:c>
      <x:c r="M32" s="9" t="inlineStr">
        <x:is>
          <x:t xml:space="preserve">booking-app/.../InternalReservationController.java</x:t>
        </x:is>
      </x:c>
    </x:row>
  </x:sheetData>
  <x:pageMargins left="0.7" right="0.7" top="0.75" bottom="0.75" header="0.3" footer="0.3"/>
  <x:legacyDrawing xmlns:r="http://schemas.openxmlformats.org/officeDocument/2006/relationships" r:id="R1e2a25e80c1f4d6b"/>
  <x:tableParts count="1">
    <x:tablePart xmlns:r="http://schemas.openxmlformats.org/officeDocument/2006/relationships" r:id="Rc638dffc55e04f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26" customWidth="1"/>
    <x:col min="4" max="4" width="18" customWidth="1"/>
    <x:col min="5" max="5" width="26" customWidth="1"/>
    <x:col min="6" max="6" width="12" customWidth="1"/>
    <x:col min="7" max="7" width="40" customWidth="1"/>
    <x:col min="8" max="8" width="28" customWidth="1"/>
    <x:col min="9" max="9" width="28" customWidth="1"/>
  </x:cols>
  <x:sheetData>
    <x:row r="1">
      <x:c r="A1" s="13" t="inlineStr">
        <x:is>
          <x:t xml:space="preserve">Flow</x:t>
        </x:is>
      </x:c>
      <x:c r="B1" s="13" t="inlineStr">
        <x:is>
          <x:t xml:space="preserve">Source</x:t>
        </x:is>
      </x:c>
      <x:c r="C1" s="13" t="inlineStr">
        <x:is>
          <x:t xml:space="preserve">Source Field</x:t>
        </x:is>
      </x:c>
      <x:c r="D1" s="13" t="inlineStr">
        <x:is>
          <x:t xml:space="preserve">Target</x:t>
        </x:is>
      </x:c>
      <x:c r="E1" s="13" t="inlineStr">
        <x:is>
          <x:t xml:space="preserve">Target Field</x:t>
        </x:is>
      </x:c>
      <x:c r="F1" s="13" t="inlineStr">
        <x:is>
          <x:t xml:space="preserve">Type</x:t>
        </x:is>
      </x:c>
      <x:c r="G1" s="13" t="inlineStr">
        <x:is>
          <x:t xml:space="preserve">Rule / Transformation</x:t>
        </x:is>
      </x:c>
      <x:c r="H1" s="13" t="inlineStr">
        <x:is>
          <x:t xml:space="preserve">Persistence / Key</x:t>
        </x:is>
      </x:c>
      <x:c r="I1" s="13" t="inlineStr">
        <x:is>
          <x:t xml:space="preserve">Consistency Note</x:t>
        </x:is>
      </x:c>
    </x:row>
    <x:row r="2">
      <x:c r="A2" s="9" t="inlineStr">
        <x:is>
          <x:t xml:space="preserve">Gateway Header 표준화</x:t>
        </x:is>
      </x:c>
      <x:c r="B2" s="9" t="inlineStr">
        <x:is>
          <x:t xml:space="preserve">Client</x:t>
        </x:is>
      </x:c>
      <x:c r="C2" s="9" t="inlineStr">
        <x:is>
          <x:t xml:space="preserve">X-User-Id</x:t>
        </x:is>
      </x:c>
      <x:c r="D2" s="9" t="inlineStr">
        <x:is>
          <x:t xml:space="preserve">scg-app</x:t>
        </x:is>
      </x:c>
      <x:c r="E2" s="9" t="inlineStr">
        <x:is>
          <x:t xml:space="preserve">X-Auth-User-Id</x:t>
        </x:is>
      </x:c>
      <x:c r="F2" s="9" t="inlineStr">
        <x:is>
          <x:t xml:space="preserve">Header</x:t>
        </x:is>
      </x:c>
      <x:c r="G2" s="9" t="inlineStr">
        <x:is>
          <x:t xml:space="preserve">legacy header가 있을 때만 bridge. 이미 X-Auth-User-Id가 있으면 유지</x:t>
        </x:is>
      </x:c>
      <x:c r="H2" s="9" t="inlineStr">
        <x:is>
          <x:t xml:space="preserve">없음</x:t>
        </x:is>
      </x:c>
      <x:c r="I2" s="9" t="inlineStr">
        <x:is>
          <x:t xml:space="preserve">점진적 마이그레이션용</x:t>
        </x:is>
      </x:c>
    </x:row>
    <x:row r="3">
      <x:c r="A3" s="9" t="inlineStr">
        <x:is>
          <x:t xml:space="preserve">Correlation 전파</x:t>
        </x:is>
      </x:c>
      <x:c r="B3" s="9" t="inlineStr">
        <x:is>
          <x:t xml:space="preserve">Client/scg-app</x:t>
        </x:is>
      </x:c>
      <x:c r="C3" s="9" t="inlineStr">
        <x:is>
          <x:t xml:space="preserve">X-Correlation-Id or X-Request-Id</x:t>
        </x:is>
      </x:c>
      <x:c r="D3" s="9" t="inlineStr">
        <x:is>
          <x:t xml:space="preserve">모든 downstream</x:t>
        </x:is>
      </x:c>
      <x:c r="E3" s="9" t="inlineStr">
        <x:is>
          <x:t xml:space="preserve">X-Correlation-Id + X-Request-Id</x:t>
        </x:is>
      </x:c>
      <x:c r="F3" s="9" t="inlineStr">
        <x:is>
          <x:t xml:space="preserve">Header</x:t>
        </x:is>
      </x:c>
      <x:c r="G3" s="9" t="inlineStr">
        <x:is>
          <x:t xml:space="preserve">없으면 gateway가 UUID 생성</x:t>
        </x:is>
      </x:c>
      <x:c r="H3" s="9" t="inlineStr">
        <x:is>
          <x:t xml:space="preserve">MDC / Trace 검색 기준</x:t>
        </x:is>
      </x:c>
      <x:c r="I3" s="9" t="inlineStr">
        <x:is>
          <x:t xml:space="preserve">로그·트레이스 상관분석용</x:t>
        </x:is>
      </x:c>
    </x:row>
    <x:row r="4">
      <x:c r="A4" s="9" t="inlineStr">
        <x:is>
          <x:t xml:space="preserve">WaitingRoom Join</x:t>
        </x:is>
      </x:c>
      <x:c r="B4" s="9" t="inlineStr">
        <x:is>
          <x:t xml:space="preserve">Client</x:t>
        </x:is>
      </x:c>
      <x:c r="C4" s="9" t="inlineStr">
        <x:is>
          <x:t xml:space="preserve">eventId,userId</x:t>
        </x:is>
      </x:c>
      <x:c r="D4" s="9" t="inlineStr">
        <x:is>
          <x:t xml:space="preserve">Redis ZSET</x:t>
        </x:is>
      </x:c>
      <x:c r="E4" s="9" t="inlineStr">
        <x:is>
          <x:t xml:space="preserve">waiting-room:event:{eventId} member=userId</x:t>
        </x:is>
      </x:c>
      <x:c r="F4" s="9" t="inlineStr">
        <x:is>
          <x:t xml:space="preserve">Body -&gt; Redis</x:t>
        </x:is>
      </x:c>
      <x:c r="G4" s="9" t="inlineStr">
        <x:is>
          <x:t xml:space="preserve">score=진입시각(ms)</x:t>
        </x:is>
      </x:c>
      <x:c r="H4" s="9" t="inlineStr">
        <x:is>
          <x:t xml:space="preserve">Redis Sorted Set</x:t>
        </x:is>
      </x:c>
      <x:c r="I4" s="9" t="inlineStr">
        <x:is>
          <x:t xml:space="preserve">순번 계산용</x:t>
        </x:is>
      </x:c>
    </x:row>
    <x:row r="5">
      <x:c r="A5" s="9" t="inlineStr">
        <x:is>
          <x:t xml:space="preserve">WaitingRoom Status</x:t>
        </x:is>
      </x:c>
      <x:c r="B5" s="9" t="inlineStr">
        <x:is>
          <x:t xml:space="preserve">Redis ZSET</x:t>
        </x:is>
      </x:c>
      <x:c r="C5" s="9" t="inlineStr">
        <x:is>
          <x:t xml:space="preserve">rank(eventId,userId)</x:t>
        </x:is>
      </x:c>
      <x:c r="D5" s="9" t="inlineStr">
        <x:is>
          <x:t xml:space="preserve">waitingroom-app</x:t>
        </x:is>
      </x:c>
      <x:c r="E5" s="9" t="inlineStr">
        <x:is>
          <x:t xml:space="preserve">WaitingRoomResponseDTO.rank</x:t>
        </x:is>
      </x:c>
      <x:c r="F5" s="9" t="inlineStr">
        <x:is>
          <x:t xml:space="preserve">Redis -&gt; Response</x:t>
        </x:is>
      </x:c>
      <x:c r="G5" s="9" t="inlineStr">
        <x:is>
          <x:t xml:space="preserve">rank+1로 표시</x:t>
        </x:is>
      </x:c>
      <x:c r="H5" s="9" t="inlineStr">
        <x:is>
          <x:t xml:space="preserve">없음</x:t>
        </x:is>
      </x:c>
      <x:c r="I5" s="9" t="inlineStr">
        <x:is>
          <x:t xml:space="preserve">상위 100위 내에서 토큰 발급 가능</x:t>
        </x:is>
      </x:c>
    </x:row>
    <x:row r="6">
      <x:c r="A6" s="9" t="inlineStr">
        <x:is>
          <x:t xml:space="preserve">Waiting Token 발급</x:t>
        </x:is>
      </x:c>
      <x:c r="B6" s="9" t="inlineStr">
        <x:is>
          <x:t xml:space="preserve">waitingroom-app</x:t>
        </x:is>
      </x:c>
      <x:c r="C6" s="9" t="inlineStr">
        <x:is>
          <x:t xml:space="preserve">eventId,userId</x:t>
        </x:is>
      </x:c>
      <x:c r="D6" s="9" t="inlineStr">
        <x:is>
          <x:t xml:space="preserve">ticketing_waitingroom.active_tokens</x:t>
        </x:is>
      </x:c>
      <x:c r="E6" s="9" t="inlineStr">
        <x:is>
          <x:t xml:space="preserve">token_id,user_id,event_id,status,issued_at,expired_at</x:t>
        </x:is>
      </x:c>
      <x:c r="F6" s="9" t="inlineStr">
        <x:is>
          <x:t xml:space="preserve">Domain -&gt; DB</x:t>
        </x:is>
      </x:c>
      <x:c r="G6" s="9" t="inlineStr">
        <x:is>
          <x:t xml:space="preserve">ACTIVE / 10분 TTL</x:t>
        </x:is>
      </x:c>
      <x:c r="H6" s="9" t="inlineStr">
        <x:is>
          <x:t xml:space="preserve">MySQL</x:t>
        </x:is>
      </x:c>
      <x:c r="I6" s="9" t="inlineStr">
        <x:is>
          <x:t xml:space="preserve">토큰은 UUID</x:t>
        </x:is>
      </x:c>
    </x:row>
    <x:row r="7">
      <x:c r="A7" s="9" t="inlineStr">
        <x:is>
          <x:t xml:space="preserve">Booking Create</x:t>
        </x:is>
      </x:c>
      <x:c r="B7" s="9" t="inlineStr">
        <x:is>
          <x:t xml:space="preserve">Client</x:t>
        </x:is>
      </x:c>
      <x:c r="C7" s="9" t="inlineStr">
        <x:is>
          <x:t xml:space="preserve">seatId + X-Waiting-Token + X-Auth-User-Id</x:t>
        </x:is>
      </x:c>
      <x:c r="D7" s="9" t="inlineStr">
        <x:is>
          <x:t xml:space="preserve">booking-app</x:t>
        </x:is>
      </x:c>
      <x:c r="E7" s="9" t="inlineStr">
        <x:is>
          <x:t xml:space="preserve">reservation</x:t>
        </x:is>
      </x:c>
      <x:c r="F7" s="9" t="inlineStr">
        <x:is>
          <x:t xml:space="preserve">Header+Body -&gt; Domain</x:t>
        </x:is>
      </x:c>
      <x:c r="G7" s="9" t="inlineStr">
        <x:is>
          <x:t xml:space="preserve">seat 상세 조회로 eventId 확보 후 토큰 검증</x:t>
        </x:is>
      </x:c>
      <x:c r="H7" s="9" t="inlineStr">
        <x:is>
          <x:t xml:space="preserve">ticketing_booking.reservations</x:t>
        </x:is>
      </x:c>
      <x:c r="I7" s="9" t="inlineStr">
        <x:is>
          <x:t xml:space="preserve">성공 시 token consume</x:t>
        </x:is>
      </x:c>
    </x:row>
    <x:row r="8">
      <x:c r="A8" s="9" t="inlineStr">
        <x:is>
          <x:t xml:space="preserve">Seat HOLD</x:t>
        </x:is>
      </x:c>
      <x:c r="B8" s="9" t="inlineStr">
        <x:is>
          <x:t xml:space="preserve">booking-app</x:t>
        </x:is>
      </x:c>
      <x:c r="C8" s="9" t="inlineStr">
        <x:is>
          <x:t xml:space="preserve">seatId</x:t>
        </x:is>
      </x:c>
      <x:c r="D8" s="9" t="inlineStr">
        <x:is>
          <x:t xml:space="preserve">concert-app internal</x:t>
        </x:is>
      </x:c>
      <x:c r="E8" s="9" t="inlineStr">
        <x:is>
          <x:t xml:space="preserve">POST /internal/v1/seats/{seatId}/hold</x:t>
        </x:is>
      </x:c>
      <x:c r="F8" s="9" t="inlineStr">
        <x:is>
          <x:t xml:space="preserve">Internal API</x:t>
        </x:is>
      </x:c>
      <x:c r="G8" s="9" t="inlineStr">
        <x:is>
          <x:t xml:space="preserve">expectedStatus=AVAILABLE</x:t>
        </x:is>
      </x:c>
      <x:c r="H8" s="9" t="inlineStr">
        <x:is>
          <x:t xml:space="preserve">ticketing_concert.seats</x:t>
        </x:is>
      </x:c>
      <x:c r="I8" s="9" t="inlineStr">
        <x:is>
          <x:t xml:space="preserve">낙관적 락 충돌 시 409</x:t>
        </x:is>
      </x:c>
    </x:row>
    <x:row r="9">
      <x:c r="A9" s="9" t="inlineStr">
        <x:is>
          <x:t xml:space="preserve">Reservation Persist</x:t>
        </x:is>
      </x:c>
      <x:c r="B9" s="9" t="inlineStr">
        <x:is>
          <x:t xml:space="preserve">booking-app</x:t>
        </x:is>
      </x:c>
      <x:c r="C9" s="9" t="inlineStr">
        <x:is>
          <x:t xml:space="preserve">userId, seatId</x:t>
        </x:is>
      </x:c>
      <x:c r="D9" s="9" t="inlineStr">
        <x:is>
          <x:t xml:space="preserve">ticketing_booking.reservations</x:t>
        </x:is>
      </x:c>
      <x:c r="E9" s="9" t="inlineStr">
        <x:is>
          <x:t xml:space="preserve">reservation_id,user_id,seat_id,status,reserved_at,expired_at</x:t>
        </x:is>
      </x:c>
      <x:c r="F9" s="9" t="inlineStr">
        <x:is>
          <x:t xml:space="preserve">Domain -&gt; DB</x:t>
        </x:is>
      </x:c>
      <x:c r="G9" s="9" t="inlineStr">
        <x:is>
          <x:t xml:space="preserve">기본 status=PENDING, expiredAt=now+5m</x:t>
        </x:is>
      </x:c>
      <x:c r="H9" s="9" t="inlineStr">
        <x:is>
          <x:t xml:space="preserve">MySQL</x:t>
        </x:is>
      </x:c>
      <x:c r="I9" s="9" t="inlineStr">
        <x:is>
          <x:t xml:space="preserve">본 데이터가 예약 source of truth</x:t>
        </x:is>
      </x:c>
    </x:row>
    <x:row r="10">
      <x:c r="A10" s="9" t="inlineStr">
        <x:is>
          <x:t xml:space="preserve">Waiting Token Consume</x:t>
        </x:is>
      </x:c>
      <x:c r="B10" s="9" t="inlineStr">
        <x:is>
          <x:t xml:space="preserve">booking-app</x:t>
        </x:is>
      </x:c>
      <x:c r="C10" s="9" t="inlineStr">
        <x:is>
          <x:t xml:space="preserve">tokenId</x:t>
        </x:is>
      </x:c>
      <x:c r="D10" s="9" t="inlineStr">
        <x:is>
          <x:t xml:space="preserve">waitingroom-app internal</x:t>
        </x:is>
      </x:c>
      <x:c r="E10" s="9" t="inlineStr">
        <x:is>
          <x:t xml:space="preserve">POST /consume</x:t>
        </x:is>
      </x:c>
      <x:c r="F10" s="9" t="inlineStr">
        <x:is>
          <x:t xml:space="preserve">Internal API</x:t>
        </x:is>
      </x:c>
      <x:c r="G10" s="9" t="inlineStr">
        <x:is>
          <x:t xml:space="preserve">usedBy=booking-service</x:t>
        </x:is>
      </x:c>
      <x:c r="H10" s="9" t="inlineStr">
        <x:is>
          <x:t xml:space="preserve">ticketing_waitingroom.active_tokens</x:t>
        </x:is>
      </x:c>
      <x:c r="I10" s="9" t="inlineStr">
        <x:is>
          <x:t xml:space="preserve">ACTIVE -&gt; USED</x:t>
        </x:is>
      </x:c>
    </x:row>
    <x:row r="11">
      <x:c r="A11" s="9" t="inlineStr">
        <x:is>
          <x:t xml:space="preserve">Payment Prepare</x:t>
        </x:is>
      </x:c>
      <x:c r="B11" s="9" t="inlineStr">
        <x:is>
          <x:t xml:space="preserve">booking-app internal + concert internal</x:t>
        </x:is>
      </x:c>
      <x:c r="C11" s="9" t="inlineStr">
        <x:is>
          <x:t xml:space="preserve">reservation, seat.price</x:t>
        </x:is>
      </x:c>
      <x:c r="D11" s="9" t="inlineStr">
        <x:is>
          <x:t xml:space="preserve">payment-app</x:t>
        </x:is>
      </x:c>
      <x:c r="E11" s="9" t="inlineStr">
        <x:is>
          <x:t xml:space="preserve">payment/order</x:t>
        </x:is>
      </x:c>
      <x:c r="F11" s="9" t="inlineStr">
        <x:is>
          <x:t xml:space="preserve">Internal API -&gt; Domain</x:t>
        </x:is>
      </x:c>
      <x:c r="G11" s="9" t="inlineStr">
        <x:is>
          <x:t xml:space="preserve">orderId 서버 생성, amount=seat.price(long)</x:t>
        </x:is>
      </x:c>
      <x:c r="H11" s="9" t="inlineStr">
        <x:is>
          <x:t xml:space="preserve">ticketing_payment.payments</x:t>
        </x:is>
      </x:c>
      <x:c r="I11" s="9" t="inlineStr">
        <x:is>
          <x:t xml:space="preserve">state=READY</x:t>
        </x:is>
      </x:c>
    </x:row>
    <x:row r="12">
      <x:c r="A12" s="9" t="inlineStr">
        <x:is>
          <x:t xml:space="preserve">Payment Prepare Idempotency</x:t>
        </x:is>
      </x:c>
      <x:c r="B12" s="9" t="inlineStr">
        <x:is>
          <x:t xml:space="preserve">Client</x:t>
        </x:is>
      </x:c>
      <x:c r="C12" s="9" t="inlineStr">
        <x:is>
          <x:t xml:space="preserve">Idempotency-Key</x:t>
        </x:is>
      </x:c>
      <x:c r="D12" s="9" t="inlineStr">
        <x:is>
          <x:t xml:space="preserve">Redis</x:t>
        </x:is>
      </x:c>
      <x:c r="E12" s="9" t="inlineStr">
        <x:is>
          <x:t xml:space="preserve">payment:idempotency:prepare:{key}:*</x:t>
        </x:is>
      </x:c>
      <x:c r="F12" s="9" t="inlineStr">
        <x:is>
          <x:t xml:space="preserve">Header -&gt; Redis</x:t>
        </x:is>
      </x:c>
      <x:c r="G12" s="9" t="inlineStr">
        <x:is>
          <x:t xml:space="preserve">requestHash로 payload mismatch 차단</x:t>
        </x:is>
      </x:c>
      <x:c r="H12" s="9" t="inlineStr">
        <x:is>
          <x:t xml:space="preserve">Redis String</x:t>
        </x:is>
      </x:c>
      <x:c r="I12" s="9" t="inlineStr">
        <x:is>
          <x:t xml:space="preserve">processing TTL 2m, response TTL 15d</x:t>
        </x:is>
      </x:c>
    </x:row>
    <x:row r="13">
      <x:c r="A13" s="9" t="inlineStr">
        <x:is>
          <x:t xml:space="preserve">Toss Confirm Request</x:t>
        </x:is>
      </x:c>
      <x:c r="B13" s="9" t="inlineStr">
        <x:is>
          <x:t xml:space="preserve">payment-app</x:t>
        </x:is>
      </x:c>
      <x:c r="C13" s="9" t="inlineStr">
        <x:is>
          <x:t xml:space="preserve">paymentKey,orderId,amount</x:t>
        </x:is>
      </x:c>
      <x:c r="D13" s="9" t="inlineStr">
        <x:is>
          <x:t xml:space="preserve">Toss Payments</x:t>
        </x:is>
      </x:c>
      <x:c r="E13" s="9" t="inlineStr">
        <x:is>
          <x:t xml:space="preserve">/v1/payments/confirm</x:t>
        </x:is>
      </x:c>
      <x:c r="F13" s="9" t="inlineStr">
        <x:is>
          <x:t xml:space="preserve">External API</x:t>
        </x:is>
      </x:c>
      <x:c r="G13" s="9" t="inlineStr">
        <x:is>
          <x:t xml:space="preserve">Basic auth(secretKey:), Accept-Language=ko-KR</x:t>
        </x:is>
      </x:c>
      <x:c r="H13" s="9" t="inlineStr">
        <x:is>
          <x:t xml:space="preserve">외부 PG</x:t>
        </x:is>
      </x:c>
      <x:c r="I13" s="9" t="inlineStr">
        <x:is>
          <x:t xml:space="preserve">실제 승인</x:t>
        </x:is>
      </x:c>
    </x:row>
    <x:row r="14">
      <x:c r="A14" s="9" t="inlineStr">
        <x:is>
          <x:t xml:space="preserve">Payment Confirm Persist</x:t>
        </x:is>
      </x:c>
      <x:c r="B14" s="9" t="inlineStr">
        <x:is>
          <x:t xml:space="preserve">payment-app</x:t>
        </x:is>
      </x:c>
      <x:c r="C14" s="9" t="inlineStr">
        <x:is>
          <x:t xml:space="preserve">Toss result</x:t>
        </x:is>
      </x:c>
      <x:c r="D14" s="9" t="inlineStr">
        <x:is>
          <x:t xml:space="preserve">ticketing_payment.payments</x:t>
        </x:is>
      </x:c>
      <x:c r="E14" s="9" t="inlineStr">
        <x:is>
          <x:t xml:space="preserve">status,method,type,balance_amount,requested_at,approved_at</x:t>
        </x:is>
      </x:c>
      <x:c r="F14" s="9" t="inlineStr">
        <x:is>
          <x:t xml:space="preserve">PG -&gt; DB</x:t>
        </x:is>
      </x:c>
      <x:c r="G14" s="9" t="inlineStr">
        <x:is>
          <x:t xml:space="preserve">DONE일 때 승인 완료</x:t>
        </x:is>
      </x:c>
      <x:c r="H14" s="9" t="inlineStr">
        <x:is>
          <x:t xml:space="preserve">MySQL</x:t>
        </x:is>
      </x:c>
      <x:c r="I14" s="9" t="inlineStr">
        <x:is>
          <x:t xml:space="preserve">paymentKey/orderId unique</x:t>
        </x:is>
      </x:c>
    </x:row>
    <x:row r="15">
      <x:c r="A15" s="9" t="inlineStr">
        <x:is>
          <x:t xml:space="preserve">Booking Confirm</x:t>
        </x:is>
      </x:c>
      <x:c r="B15" s="9" t="inlineStr">
        <x:is>
          <x:t xml:space="preserve">payment-app</x:t>
        </x:is>
      </x:c>
      <x:c r="C15" s="9" t="inlineStr">
        <x:is>
          <x:t xml:space="preserve">reservationId,paymentId</x:t>
        </x:is>
      </x:c>
      <x:c r="D15" s="9" t="inlineStr">
        <x:is>
          <x:t xml:space="preserve">booking-app internal</x:t>
        </x:is>
      </x:c>
      <x:c r="E15" s="9" t="inlineStr">
        <x:is>
          <x:t xml:space="preserve">POST /confirm</x:t>
        </x:is>
      </x:c>
      <x:c r="F15" s="9" t="inlineStr">
        <x:is>
          <x:t xml:space="preserve">Internal API</x:t>
        </x:is>
      </x:c>
      <x:c r="G15" s="9" t="inlineStr">
        <x:is>
          <x:t xml:space="preserve">reservation PENDING -&gt; CONFIRMED</x:t>
        </x:is>
      </x:c>
      <x:c r="H15" s="9" t="inlineStr">
        <x:is>
          <x:t xml:space="preserve">ticketing_booking.reservations</x:t>
        </x:is>
      </x:c>
      <x:c r="I15" s="9" t="inlineStr">
        <x:is>
          <x:t xml:space="preserve">이후 seat SOLD</x:t>
        </x:is>
      </x:c>
    </x:row>
    <x:row r="16">
      <x:c r="A16" s="9" t="inlineStr">
        <x:is>
          <x:t xml:space="preserve">Seat Confirm</x:t>
        </x:is>
      </x:c>
      <x:c r="B16" s="9" t="inlineStr">
        <x:is>
          <x:t xml:space="preserve">booking-app</x:t>
        </x:is>
      </x:c>
      <x:c r="C16" s="9" t="inlineStr">
        <x:is>
          <x:t xml:space="preserve">seatId</x:t>
        </x:is>
      </x:c>
      <x:c r="D16" s="9" t="inlineStr">
        <x:is>
          <x:t xml:space="preserve">concert-app internal</x:t>
        </x:is>
      </x:c>
      <x:c r="E16" s="9" t="inlineStr">
        <x:is>
          <x:t xml:space="preserve">POST /confirm</x:t>
        </x:is>
      </x:c>
      <x:c r="F16" s="9" t="inlineStr">
        <x:is>
          <x:t xml:space="preserve">Internal API</x:t>
        </x:is>
      </x:c>
      <x:c r="G16" s="9" t="inlineStr">
        <x:is>
          <x:t xml:space="preserve">expectedStatus=HOLD</x:t>
        </x:is>
      </x:c>
      <x:c r="H16" s="9" t="inlineStr">
        <x:is>
          <x:t xml:space="preserve">ticketing_concert.seats</x:t>
        </x:is>
      </x:c>
      <x:c r="I16" s="9" t="inlineStr">
        <x:is>
          <x:t xml:space="preserve">HOLD -&gt; SOLD</x:t>
        </x:is>
      </x:c>
    </x:row>
    <x:row r="17">
      <x:c r="A17" s="9" t="inlineStr">
        <x:is>
          <x:t xml:space="preserve">Payment Cancel</x:t>
        </x:is>
      </x:c>
      <x:c r="B17" s="9" t="inlineStr">
        <x:is>
          <x:t xml:space="preserve">Client</x:t>
        </x:is>
      </x:c>
      <x:c r="C17" s="9" t="inlineStr">
        <x:is>
          <x:t xml:space="preserve">paymentId,cancelReason,Idempotency-Key</x:t>
        </x:is>
      </x:c>
      <x:c r="D17" s="9" t="inlineStr">
        <x:is>
          <x:t xml:space="preserve">payment-app</x:t>
        </x:is>
      </x:c>
      <x:c r="E17" s="9" t="inlineStr">
        <x:is>
          <x:t xml:space="preserve">cancel flow</x:t>
        </x:is>
      </x:c>
      <x:c r="F17" s="9" t="inlineStr">
        <x:is>
          <x:t xml:space="preserve">Header+Body -&gt; Domain</x:t>
        </x:is>
      </x:c>
      <x:c r="G17" s="9" t="inlineStr">
        <x:is>
          <x:t xml:space="preserve">전액 취소 중심</x:t>
        </x:is>
      </x:c>
      <x:c r="H17" s="9" t="inlineStr">
        <x:is>
          <x:t xml:space="preserve">ticketing_payment.payments</x:t>
        </x:is>
      </x:c>
      <x:c r="I17" s="9" t="inlineStr">
        <x:is>
          <x:t xml:space="preserve">CANCELED 상태</x:t>
        </x:is>
      </x:c>
    </x:row>
    <x:row r="18">
      <x:c r="A18" s="9" t="inlineStr">
        <x:is>
          <x:t xml:space="preserve">Toss Cancel Request</x:t>
        </x:is>
      </x:c>
      <x:c r="B18" s="9" t="inlineStr">
        <x:is>
          <x:t xml:space="preserve">payment-app</x:t>
        </x:is>
      </x:c>
      <x:c r="C18" s="9" t="inlineStr">
        <x:is>
          <x:t xml:space="preserve">paymentKey,cancelReason</x:t>
        </x:is>
      </x:c>
      <x:c r="D18" s="9" t="inlineStr">
        <x:is>
          <x:t xml:space="preserve">Toss Payments</x:t>
        </x:is>
      </x:c>
      <x:c r="E18" s="9" t="inlineStr">
        <x:is>
          <x:t xml:space="preserve">/v1/payments/{paymentKey}/cancel</x:t>
        </x:is>
      </x:c>
      <x:c r="F18" s="9" t="inlineStr">
        <x:is>
          <x:t xml:space="preserve">External API</x:t>
        </x:is>
      </x:c>
      <x:c r="G18" s="9" t="inlineStr">
        <x:is>
          <x:t xml:space="preserve">Idempotency-Key 전달</x:t>
        </x:is>
      </x:c>
      <x:c r="H18" s="9" t="inlineStr">
        <x:is>
          <x:t xml:space="preserve">외부 PG</x:t>
        </x:is>
      </x:c>
      <x:c r="I18" s="9" t="inlineStr">
        <x:is>
          <x:t xml:space="preserve">승인 결제 취소</x:t>
        </x:is>
      </x:c>
    </x:row>
    <x:row r="19">
      <x:c r="A19" s="9" t="inlineStr">
        <x:is>
          <x:t xml:space="preserve">Booking Cancel Confirmed</x:t>
        </x:is>
      </x:c>
      <x:c r="B19" s="9" t="inlineStr">
        <x:is>
          <x:t xml:space="preserve">payment-app</x:t>
        </x:is>
      </x:c>
      <x:c r="C19" s="9" t="inlineStr">
        <x:is>
          <x:t xml:space="preserve">reservationId</x:t>
        </x:is>
      </x:c>
      <x:c r="D19" s="9" t="inlineStr">
        <x:is>
          <x:t xml:space="preserve">booking-app internal</x:t>
        </x:is>
      </x:c>
      <x:c r="E19" s="9" t="inlineStr">
        <x:is>
          <x:t xml:space="preserve">POST /cancel-confirmed</x:t>
        </x:is>
      </x:c>
      <x:c r="F19" s="9" t="inlineStr">
        <x:is>
          <x:t xml:space="preserve">Internal API</x:t>
        </x:is>
      </x:c>
      <x:c r="G19" s="9" t="inlineStr">
        <x:is>
          <x:t xml:space="preserve">CONFIRMED -&gt; CANCELLED</x:t>
        </x:is>
      </x:c>
      <x:c r="H19" s="9" t="inlineStr">
        <x:is>
          <x:t xml:space="preserve">ticketing_booking.reservations</x:t>
        </x:is>
      </x:c>
      <x:c r="I19" s="9" t="inlineStr">
        <x:is>
          <x:t xml:space="preserve">seat RELEASE 연계</x:t>
        </x:is>
      </x:c>
    </x:row>
    <x:row r="20">
      <x:c r="A20" s="9" t="inlineStr">
        <x:is>
          <x:t xml:space="preserve">Seat Release</x:t>
        </x:is>
      </x:c>
      <x:c r="B20" s="9" t="inlineStr">
        <x:is>
          <x:t xml:space="preserve">booking-app</x:t>
        </x:is>
      </x:c>
      <x:c r="C20" s="9" t="inlineStr">
        <x:is>
          <x:t xml:space="preserve">seatId</x:t>
        </x:is>
      </x:c>
      <x:c r="D20" s="9" t="inlineStr">
        <x:is>
          <x:t xml:space="preserve">concert-app internal</x:t>
        </x:is>
      </x:c>
      <x:c r="E20" s="9" t="inlineStr">
        <x:is>
          <x:t xml:space="preserve">POST /release</x:t>
        </x:is>
      </x:c>
      <x:c r="F20" s="9" t="inlineStr">
        <x:is>
          <x:t xml:space="preserve">Internal API</x:t>
        </x:is>
      </x:c>
      <x:c r="G20" s="9" t="inlineStr">
        <x:is>
          <x:t xml:space="preserve">expectedStatus=HOLD</x:t>
        </x:is>
      </x:c>
      <x:c r="H20" s="9" t="inlineStr">
        <x:is>
          <x:t xml:space="preserve">ticketing_concert.seats</x:t>
        </x:is>
      </x:c>
      <x:c r="I20" s="9" t="inlineStr">
        <x:is>
          <x:t xml:space="preserve">취소/만료 시 좌석 반납</x:t>
        </x:is>
      </x:c>
    </x:row>
    <x:row r="21">
      <x:c r="A21" s="9" t="inlineStr">
        <x:is>
          <x:t xml:space="preserve">Query/Error Observability</x:t>
        </x:is>
      </x:c>
      <x:c r="B21" s="9" t="inlineStr">
        <x:is>
          <x:t xml:space="preserve">All services</x:t>
        </x:is>
      </x:c>
      <x:c r="C21" s="9" t="inlineStr">
        <x:is>
          <x:t xml:space="preserve">logs/metrics/traces</x:t>
        </x:is>
      </x:c>
      <x:c r="D21" s="9" t="inlineStr">
        <x:is>
          <x:t xml:space="preserve">ELK/Prometheus/Jaeger</x:t>
        </x:is>
      </x:c>
      <x:c r="E21" s="9" t="inlineStr">
        <x:is>
          <x:t xml:space="preserve">search labels</x:t>
        </x:is>
      </x:c>
      <x:c r="F21" s="9" t="inlineStr">
        <x:is>
          <x:t xml:space="preserve">Telemetry</x:t>
        </x:is>
      </x:c>
      <x:c r="G21" s="9" t="inlineStr">
        <x:is>
          <x:t xml:space="preserve">traceId/correlationId로 묶어서 분석</x:t>
        </x:is>
      </x:c>
      <x:c r="H21" s="9" t="inlineStr">
        <x:is>
          <x:t xml:space="preserve">Elasticsearch/Prometheus/Jaeger</x:t>
        </x:is>
      </x:c>
      <x:c r="I21" s="9" t="inlineStr">
        <x:is>
          <x:t xml:space="preserve">장애 원인 추적</x:t>
        </x:is>
      </x:c>
    </x:row>
  </x:sheetData>
  <x:pageMargins left="0.7" right="0.7" top="0.75" bottom="0.75" header="0.3" footer="0.3"/>
  <x:legacyDrawing xmlns:r="http://schemas.openxmlformats.org/officeDocument/2006/relationships" r:id="R8e7d61d34d48404a"/>
  <x:tableParts count="1">
    <x:tablePart xmlns:r="http://schemas.openxmlformats.org/officeDocument/2006/relationships" r:id="R4e6fa70aeed446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0" customWidth="1"/>
    <x:col min="4" max="4" width="12" customWidth="1"/>
    <x:col min="5" max="5" width="42" customWidth="1"/>
    <x:col min="6" max="6" width="34" customWidth="1"/>
    <x:col min="7" max="7" width="28" customWidth="1"/>
    <x:col min="8" max="8" width="28" customWidth="1"/>
  </x:cols>
  <x:sheetData>
    <x:row r="1">
      <x:c r="A1" s="13" t="inlineStr">
        <x:is>
          <x:t xml:space="preserve">Service</x:t>
        </x:is>
      </x:c>
      <x:c r="B1" s="13" t="inlineStr">
        <x:is>
          <x:t xml:space="preserve">Schema</x:t>
        </x:is>
      </x:c>
      <x:c r="C1" s="13" t="inlineStr">
        <x:is>
          <x:t xml:space="preserve">Table</x:t>
        </x:is>
      </x:c>
      <x:c r="D1" s="13" t="inlineStr">
        <x:is>
          <x:t xml:space="preserve">PK</x:t>
        </x:is>
      </x:c>
      <x:c r="E1" s="13" t="inlineStr">
        <x:is>
          <x:t xml:space="preserve">Key Columns</x:t>
        </x:is>
      </x:c>
      <x:c r="F1" s="13" t="inlineStr">
        <x:is>
          <x:t xml:space="preserve">Index / Constraint</x:t>
        </x:is>
      </x:c>
      <x:c r="G1" s="13" t="inlineStr">
        <x:is>
          <x:t xml:space="preserve">Purpose</x:t>
        </x:is>
      </x:c>
      <x:c r="H1" s="13" t="inlineStr">
        <x:is>
          <x:t xml:space="preserve">Growth / Partition Note</x:t>
        </x:is>
      </x:c>
    </x:row>
    <x:row r="2">
      <x:c r="A2" s="9" t="inlineStr">
        <x:is>
          <x:t xml:space="preserve">user-app</x:t>
        </x:is>
      </x:c>
      <x:c r="B2" s="9" t="inlineStr">
        <x:is>
          <x:t xml:space="preserve">ticketing_user</x:t>
        </x:is>
      </x:c>
      <x:c r="C2" s="9" t="inlineStr">
        <x:is>
          <x:t xml:space="preserve">users</x:t>
        </x:is>
      </x:c>
      <x:c r="D2" s="9" t="inlineStr">
        <x:is>
          <x:t xml:space="preserve">user_id</x:t>
        </x:is>
      </x:c>
      <x:c r="E2" s="9" t="inlineStr">
        <x:is>
          <x:t xml:space="preserve">email, name, password, point, created_at, updated_at</x:t>
        </x:is>
      </x:c>
      <x:c r="F2" s="9" t="inlineStr">
        <x:is>
          <x:t xml:space="preserve">UK(email)</x:t>
        </x:is>
      </x:c>
      <x:c r="G2" s="9" t="inlineStr">
        <x:is>
          <x:t xml:space="preserve">사용자 기본 정보 및 포인트</x:t>
        </x:is>
      </x:c>
      <x:c r="H2" s="9" t="inlineStr">
        <x:is>
          <x:t xml:space="preserve">파티셔닝 불필요</x:t>
        </x:is>
      </x:c>
    </x:row>
    <x:row r="3">
      <x:c r="A3" s="9" t="inlineStr">
        <x:is>
          <x:t xml:space="preserve">concert-app</x:t>
        </x:is>
      </x:c>
      <x:c r="B3" s="9" t="inlineStr">
        <x:is>
          <x:t xml:space="preserve">ticketing_concert</x:t>
        </x:is>
      </x:c>
      <x:c r="C3" s="9" t="inlineStr">
        <x:is>
          <x:t xml:space="preserve">events</x:t>
        </x:is>
      </x:c>
      <x:c r="D3" s="9" t="inlineStr">
        <x:is>
          <x:t xml:space="preserve">event_id</x:t>
        </x:is>
      </x:c>
      <x:c r="E3" s="9" t="inlineStr">
        <x:is>
          <x:t xml:space="preserve">title, description, poster_url, created_at, updated_at</x:t>
        </x:is>
      </x:c>
      <x:c r="F3" s="9" t="inlineStr">
        <x:is>
          <x:t xml:space="preserve">title 중복 방지 로직</x:t>
        </x:is>
      </x:c>
      <x:c r="G3" s="9" t="inlineStr">
        <x:is>
          <x:t xml:space="preserve">공연 카탈로그</x:t>
        </x:is>
      </x:c>
      <x:c r="H3" s="9" t="inlineStr">
        <x:is>
          <x:t xml:space="preserve">read-heavy</x:t>
        </x:is>
      </x:c>
    </x:row>
    <x:row r="4">
      <x:c r="A4" s="9" t="inlineStr">
        <x:is>
          <x:t xml:space="preserve">concert-app</x:t>
        </x:is>
      </x:c>
      <x:c r="B4" s="9" t="inlineStr">
        <x:is>
          <x:t xml:space="preserve">ticketing_concert</x:t>
        </x:is>
      </x:c>
      <x:c r="C4" s="9" t="inlineStr">
        <x:is>
          <x:t xml:space="preserve">event_schedules</x:t>
        </x:is>
      </x:c>
      <x:c r="D4" s="9" t="inlineStr">
        <x:is>
          <x:t xml:space="preserve">schedule_id</x:t>
        </x:is>
      </x:c>
      <x:c r="E4" s="9" t="inlineStr">
        <x:is>
          <x:t xml:space="preserve">event_id, start_time, total_seats, created_at</x:t>
        </x:is>
      </x:c>
      <x:c r="F4" s="9" t="inlineStr">
        <x:is>
          <x:t xml:space="preserve">IDX(event_id, start_time)</x:t>
        </x:is>
      </x:c>
      <x:c r="G4" s="9" t="inlineStr">
        <x:is>
          <x:t xml:space="preserve">공연 회차</x:t>
        </x:is>
      </x:c>
      <x:c r="H4" s="9" t="inlineStr">
        <x:is>
          <x:t xml:space="preserve">대량 증가 시 월/이벤트 기준 분할 검토</x:t>
        </x:is>
      </x:c>
    </x:row>
    <x:row r="5">
      <x:c r="A5" s="9" t="inlineStr">
        <x:is>
          <x:t xml:space="preserve">concert-app</x:t>
        </x:is>
      </x:c>
      <x:c r="B5" s="9" t="inlineStr">
        <x:is>
          <x:t xml:space="preserve">ticketing_concert</x:t>
        </x:is>
      </x:c>
      <x:c r="C5" s="9" t="inlineStr">
        <x:is>
          <x:t xml:space="preserve">seats</x:t>
        </x:is>
      </x:c>
      <x:c r="D5" s="9" t="inlineStr">
        <x:is>
          <x:t xml:space="preserve">seat_id</x:t>
        </x:is>
      </x:c>
      <x:c r="E5" s="9" t="inlineStr">
        <x:is>
          <x:t xml:space="preserve">schedule_id, seat_no, price, status, version, created_at, update_at</x:t>
        </x:is>
      </x:c>
      <x:c r="F5" s="9" t="inlineStr">
        <x:is>
          <x:t xml:space="preserve">UK(schedule_id, seat_no), @Version</x:t>
        </x:is>
      </x:c>
      <x:c r="G5" s="9" t="inlineStr">
        <x:is>
          <x:t xml:space="preserve">좌석 재고</x:t>
        </x:is>
      </x:c>
      <x:c r="H5" s="9" t="inlineStr">
        <x:is>
          <x:t xml:space="preserve">IDX(schedule_id, status, seat_no) 추가 권장</x:t>
        </x:is>
      </x:c>
    </x:row>
    <x:row r="6">
      <x:c r="A6" s="9" t="inlineStr">
        <x:is>
          <x:t xml:space="preserve">booking-app</x:t>
        </x:is>
      </x:c>
      <x:c r="B6" s="9" t="inlineStr">
        <x:is>
          <x:t xml:space="preserve">ticketing_booking</x:t>
        </x:is>
      </x:c>
      <x:c r="C6" s="9" t="inlineStr">
        <x:is>
          <x:t xml:space="preserve">reservations</x:t>
        </x:is>
      </x:c>
      <x:c r="D6" s="9" t="inlineStr">
        <x:is>
          <x:t xml:space="preserve">reservation_id</x:t>
        </x:is>
      </x:c>
      <x:c r="E6" s="9" t="inlineStr">
        <x:is>
          <x:t xml:space="preserve">user_id, seat_id, status, reserved_at, expired_at</x:t>
        </x:is>
      </x:c>
      <x:c r="F6" s="9" t="inlineStr">
        <x:is>
          <x:t xml:space="preserve">IDX(user_id), IDX(status,expired_at)</x:t>
        </x:is>
      </x:c>
      <x:c r="G6" s="9" t="inlineStr">
        <x:is>
          <x:t xml:space="preserve">좌석 HOLD에 대한 예약 레코드</x:t>
        </x:is>
      </x:c>
      <x:c r="H6" s="9" t="inlineStr">
        <x:is>
          <x:t xml:space="preserve">created_at 컬럼 추가 후 월 파티션 검토</x:t>
        </x:is>
      </x:c>
    </x:row>
    <x:row r="7">
      <x:c r="A7" s="9" t="inlineStr">
        <x:is>
          <x:t xml:space="preserve">payment-app</x:t>
        </x:is>
      </x:c>
      <x:c r="B7" s="9" t="inlineStr">
        <x:is>
          <x:t xml:space="preserve">ticketing_payment</x:t>
        </x:is>
      </x:c>
      <x:c r="C7" s="9" t="inlineStr">
        <x:is>
          <x:t xml:space="preserve">payments</x:t>
        </x:is>
      </x:c>
      <x:c r="D7" s="9" t="inlineStr">
        <x:is>
          <x:t xml:space="preserve">payment_id</x:t>
        </x:is>
      </x:c>
      <x:c r="E7" s="9" t="inlineStr">
        <x:is>
          <x:t xml:space="preserve">reservation_id, user_id, order_id, payment_key, status, amount, balance_amount, order_expires_at, approved_at, canceled_at, version</x:t>
        </x:is>
      </x:c>
      <x:c r="F7" s="9" t="inlineStr">
        <x:is>
          <x:t xml:space="preserve">UK(order_id), UK(reservation_id), UK(payment_key), IDX(user_id), IDX(status), IDX(reservation_id,user_id)</x:t>
        </x:is>
      </x:c>
      <x:c r="G7" s="9" t="inlineStr">
        <x:is>
          <x:t xml:space="preserve">결제 및 환불 상태</x:t>
        </x:is>
      </x:c>
      <x:c r="H7" s="9" t="inlineStr">
        <x:is>
          <x:t xml:space="preserve">created_at 기준 월 파티션 후보</x:t>
        </x:is>
      </x:c>
    </x:row>
    <x:row r="8">
      <x:c r="A8" s="9" t="inlineStr">
        <x:is>
          <x:t xml:space="preserve">waitingroom-app</x:t>
        </x:is>
      </x:c>
      <x:c r="B8" s="9" t="inlineStr">
        <x:is>
          <x:t xml:space="preserve">ticketing_waitingroom</x:t>
        </x:is>
      </x:c>
      <x:c r="C8" s="9" t="inlineStr">
        <x:is>
          <x:t xml:space="preserve">active_tokens</x:t>
        </x:is>
      </x:c>
      <x:c r="D8" s="9" t="inlineStr">
        <x:is>
          <x:t xml:space="preserve">token_id</x:t>
        </x:is>
      </x:c>
      <x:c r="E8" s="9" t="inlineStr">
        <x:is>
          <x:t xml:space="preserve">user_id, event_id, status, issued_at, expired_at</x:t>
        </x:is>
      </x:c>
      <x:c r="F8" s="9" t="inlineStr">
        <x:is>
          <x:t xml:space="preserve">IDX(token_id), IDX(user_id,event_id)</x:t>
        </x:is>
      </x:c>
      <x:c r="G8" s="9" t="inlineStr">
        <x:is>
          <x:t xml:space="preserve">입장 가능 토큰</x:t>
        </x:is>
      </x:c>
      <x:c r="H8" s="9" t="inlineStr">
        <x:is>
          <x:t xml:space="preserve">대용량 시 만료 스케줄러 + TTL 전략 유지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e210d49bf2245b6"/>
  </x:tableParts>
</x:worksheet>
</file>